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ec43f8516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I Dashboard Preview" sheetId="1" r:id="R74e1af98f57347b6"/>
    <x:sheet xmlns:r="http://schemas.openxmlformats.org/officeDocument/2006/relationships" name="Inventory Matrix" sheetId="2" r:id="R647e0d9a74564fcf"/>
    <x:sheet xmlns:r="http://schemas.openxmlformats.org/officeDocument/2006/relationships" name="Pricing Segments" sheetId="3" r:id="R3cc63cb9433f4691"/>
    <x:sheet xmlns:r="http://schemas.openxmlformats.org/officeDocument/2006/relationships" name="Forecast History" sheetId="4" r:id="Rfda59efb52bb4db0"/>
    <x:sheet xmlns:r="http://schemas.openxmlformats.org/officeDocument/2006/relationships" name="Forecast Results" sheetId="5" r:id="R5d90c747e3a34f38"/>
    <x:sheet xmlns:r="http://schemas.openxmlformats.org/officeDocument/2006/relationships" name="Forecast Evaluation" sheetId="6" r:id="R6246da69d61145b0"/>
    <x:sheet xmlns:r="http://schemas.openxmlformats.org/officeDocument/2006/relationships" name="State Opportunity" sheetId="7" r:id="R75fb2a4959694adf"/>
    <x:sheet xmlns:r="http://schemas.openxmlformats.org/officeDocument/2006/relationships" name="Retention Analysis" sheetId="8" r:id="R4260fd6859aa4516"/>
    <x:sheet xmlns:r="http://schemas.openxmlformats.org/officeDocument/2006/relationships" name="Price Model Raw" sheetId="9" r:id="R8f433148e2374b56"/>
    <x:sheet xmlns:r="http://schemas.openxmlformats.org/officeDocument/2006/relationships" name="Price Model Log" sheetId="10" r:id="R98f298a328bb493f"/>
    <x:sheet xmlns:r="http://schemas.openxmlformats.org/officeDocument/2006/relationships" name="Dashboard KPIs" sheetId="11" r:id="R21d62bbb792c4bbe"/>
    <x:sheet xmlns:r="http://schemas.openxmlformats.org/officeDocument/2006/relationships" name="Methodology" sheetId="12" r:id="Rb396e9f0af41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0F172A"/>
      <x:name val="Carlito"/>
    </x:font>
    <x:font>
      <x:i/>
      <x:sz val="11"/>
      <x:color rgb="FF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787a37f2944fe" /><Relationship Type="http://schemas.openxmlformats.org/officeDocument/2006/relationships/theme" Target="/xl/theme/theme1.xml" Id="R55f38bd14ed942b1" /><Relationship Type="http://schemas.openxmlformats.org/officeDocument/2006/relationships/sharedStrings" Target="/xl/sharedStrings.xml" Id="R56d6273f60ff4efe" /><Relationship Type="http://schemas.openxmlformats.org/officeDocument/2006/relationships/worksheet" Target="/xl/worksheets/sheet1.xml" Id="R74e1af98f57347b6" /><Relationship Type="http://schemas.openxmlformats.org/officeDocument/2006/relationships/worksheet" Target="/xl/worksheets/sheet2.xml" Id="R647e0d9a74564fcf" /><Relationship Type="http://schemas.openxmlformats.org/officeDocument/2006/relationships/worksheet" Target="/xl/worksheets/sheet3.xml" Id="R3cc63cb9433f4691" /><Relationship Type="http://schemas.openxmlformats.org/officeDocument/2006/relationships/worksheet" Target="/xl/worksheets/sheet4.xml" Id="Rfda59efb52bb4db0" /><Relationship Type="http://schemas.openxmlformats.org/officeDocument/2006/relationships/worksheet" Target="/xl/worksheets/sheet5.xml" Id="R5d90c747e3a34f38" /><Relationship Type="http://schemas.openxmlformats.org/officeDocument/2006/relationships/worksheet" Target="/xl/worksheets/sheet6.xml" Id="R6246da69d61145b0" /><Relationship Type="http://schemas.openxmlformats.org/officeDocument/2006/relationships/worksheet" Target="/xl/worksheets/sheet7.xml" Id="R75fb2a4959694adf" /><Relationship Type="http://schemas.openxmlformats.org/officeDocument/2006/relationships/worksheet" Target="/xl/worksheets/sheet8.xml" Id="R4260fd6859aa4516" /><Relationship Type="http://schemas.openxmlformats.org/officeDocument/2006/relationships/worksheet" Target="/xl/worksheets/sheet9.xml" Id="R8f433148e2374b56" /><Relationship Type="http://schemas.openxmlformats.org/officeDocument/2006/relationships/worksheet" Target="/xl/worksheets/sheet10.xml" Id="R98f298a328bb493f" /><Relationship Type="http://schemas.openxmlformats.org/officeDocument/2006/relationships/worksheet" Target="/xl/worksheets/sheet11.xml" Id="R21d62bbb792c4bbe" /><Relationship Type="http://schemas.openxmlformats.org/officeDocument/2006/relationships/worksheet" Target="/xl/worksheets/sheet12.xml" Id="Rb396e9f0af4144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33676c1d684ec0" /><Relationship Type="http://schemas.openxmlformats.org/officeDocument/2006/relationships/chart" Target="/xl/drawings/charts/chart2.xml" Id="Rb61738842aae4d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Toyota Diesel — Observed Median Price by Vehicle Age</a:t>
            </a:r>
          </a:p>
        </c:rich>
      </c:tx>
    </c:title>
    <c:plotArea>
      <c:lineChart>
        <c:grouping val="standard"/>
        <c:ser>
          <c:idx val="0"/>
          <c:order val="0"/>
          <c:tx>
            <c:v>Observed Median Price</c:v>
          </c:tx>
          <c:marker>
            <c:symbol val="none"/>
          </c:marker>
          <c:cat>
            <c:strRef>
              <c:f>'Power BI Dashboard Preview'!$B$9:$B$23</c:f>
              <c:strCache>
                <c:ptCount val="0"/>
              </c:strCache>
            </c:strRef>
          </c:cat>
          <c:val>
            <c:numRef>
              <c:f>'Power BI Dashboard Preview'!$C$9:$C$23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Forecasted Toyota Diesel Price — Next Age Points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Forecast Price</c:v>
          </c:tx>
          <c:cat>
            <c:strRef>
              <c:f>'Power BI Dashboard Preview'!$F$25:$F$26</c:f>
              <c:strCache>
                <c:ptCount val="0"/>
              </c:strCache>
            </c:strRef>
          </c:cat>
          <c:val>
            <c:numRef>
              <c:f>'Power BI Dashboard Preview'!$G$25:$G$26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33676c1d684ec0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1738842aae4d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55ae1637a44e4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8" hidden="0" customWidth="1"/>
    <x:col min="4" max="4" width="17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Used-Car Market Intelligence — Power BI Dashboard Preview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3" t="str">
        <x:v>Dataset Size</x:v>
      </x:c>
      <x:c r="B3" s="13" t="str">
        <x:v>Avg Price</x:v>
      </x:c>
      <x:c r="C3" s="13" t="str">
        <x:v>Median Price</x:v>
      </x:c>
      <x:c r="D3" s="13" t="str">
        <x:v>Top Inventory Segment</x:v>
      </x:c>
      <x:c r="E3" s="13" t="str">
        <x:v>Top Inventory Score</x:v>
      </x:c>
      <x:c r="F3" s="13" t="str">
        <x:v>Top Expansion State</x:v>
      </x:c>
      <x:c r="G3" s="13" t="str">
        <x:v>Top Expansion Score</x:v>
      </x:c>
      <x:c r="H3" s="13" t="str">
        <x:v>Forecast Focus</x:v>
      </x:c>
    </x:row>
    <x:row r="4">
      <x:c r="A4" s="21" t="n">
        <x:v>15244</x:v>
      </x:c>
      <x:c r="B4" s="34" t="n">
        <x:v>774701.448111</x:v>
      </x:c>
      <x:c r="C4" s="34" t="n">
        <x:v>559000</x:v>
      </x:c>
      <x:c r="D4" s="21" t="str">
        <x:v>Toyota | 3–5 years | Diesel</x:v>
      </x:c>
      <x:c r="E4" s="36" t="n">
        <x:v>86.430817</x:v>
      </x:c>
      <x:c r="F4" s="21" t="str">
        <x:v>Uttar Pradesh</x:v>
      </x:c>
      <x:c r="G4" s="36" t="n">
        <x:v>86.680505</x:v>
      </x:c>
      <x:c r="H4" s="21" t="str">
        <x:v>Toyota | Diesel</x:v>
      </x:c>
    </x:row>
    <x:row r="6">
      <x:c r="A6" s="26" t="str">
        <x:v>Dashboard design: Executive Overview → Pricing &amp; Forecast → Inventory → Expansion</x:v>
      </x:c>
      <x:c r="B6" s="26"/>
      <x:c r="C6" s="26"/>
      <x:c r="D6" s="26"/>
      <x:c r="E6" s="26"/>
      <x:c r="F6" s="26"/>
      <x:c r="G6" s="26"/>
      <x:c r="H6" s="26"/>
    </x:row>
    <x:row r="8">
      <x:c r="A8" s="11" t="str">
        <x:v>Toyota Diesel Forecast View</x:v>
      </x:c>
      <x:c r="B8" s="11" t="str">
        <x:v>Age</x:v>
      </x:c>
      <x:c r="C8" s="11" t="str">
        <x:v>Observed Median Price</x:v>
      </x:c>
      <x:c r="D8" s="11" t="str">
        <x:v>Forecast Price</x:v>
      </x:c>
    </x:row>
    <x:row r="9">
      <x:c r="A9" t="str">
        <x:v>Toyota Diesel</x:v>
      </x:c>
      <x:c r="B9" t="n">
        <x:v>1</x:v>
      </x:c>
      <x:c r="C9" t="n">
        <x:v>3650000</x:v>
      </x:c>
      <x:c r="D9"/>
    </x:row>
    <x:row r="10">
      <x:c r="A10" t="str">
        <x:v>Toyota Diesel</x:v>
      </x:c>
      <x:c r="B10" t="n">
        <x:v>2</x:v>
      </x:c>
      <x:c r="C10" t="n">
        <x:v>1950000</x:v>
      </x:c>
      <x:c r="D10"/>
    </x:row>
    <x:row r="11">
      <x:c r="A11" t="str">
        <x:v>Toyota Diesel</x:v>
      </x:c>
      <x:c r="B11" t="n">
        <x:v>3</x:v>
      </x:c>
      <x:c r="C11" t="n">
        <x:v>1991000</x:v>
      </x:c>
      <x:c r="D11"/>
    </x:row>
    <x:row r="12">
      <x:c r="A12" t="str">
        <x:v>Toyota Diesel</x:v>
      </x:c>
      <x:c r="B12" t="n">
        <x:v>4</x:v>
      </x:c>
      <x:c r="C12" t="n">
        <x:v>1750000</x:v>
      </x:c>
      <x:c r="D12"/>
    </x:row>
    <x:row r="13">
      <x:c r="A13" t="str">
        <x:v>Toyota Diesel</x:v>
      </x:c>
      <x:c r="B13" t="n">
        <x:v>5</x:v>
      </x:c>
      <x:c r="C13" t="n">
        <x:v>1640000</x:v>
      </x:c>
      <x:c r="D13"/>
    </x:row>
    <x:row r="14">
      <x:c r="A14" t="str">
        <x:v>Toyota Diesel</x:v>
      </x:c>
      <x:c r="B14" t="n">
        <x:v>6</x:v>
      </x:c>
      <x:c r="C14" t="n">
        <x:v>1179000</x:v>
      </x:c>
      <x:c r="D14"/>
    </x:row>
    <x:row r="15">
      <x:c r="A15" t="str">
        <x:v>Toyota Diesel</x:v>
      </x:c>
      <x:c r="B15" t="n">
        <x:v>7</x:v>
      </x:c>
      <x:c r="C15" t="n">
        <x:v>1011000</x:v>
      </x:c>
      <x:c r="D15"/>
    </x:row>
    <x:row r="16">
      <x:c r="A16" t="str">
        <x:v>Toyota Diesel</x:v>
      </x:c>
      <x:c r="B16" t="n">
        <x:v>8</x:v>
      </x:c>
      <x:c r="C16" t="n">
        <x:v>955000</x:v>
      </x:c>
      <x:c r="D16"/>
    </x:row>
    <x:row r="17">
      <x:c r="A17" t="str">
        <x:v>Toyota Diesel</x:v>
      </x:c>
      <x:c r="B17" t="n">
        <x:v>9</x:v>
      </x:c>
      <x:c r="C17" t="n">
        <x:v>1050000</x:v>
      </x:c>
      <x:c r="D17"/>
    </x:row>
    <x:row r="18">
      <x:c r="A18" t="str">
        <x:v>Toyota Diesel</x:v>
      </x:c>
      <x:c r="B18" t="n">
        <x:v>10</x:v>
      </x:c>
      <x:c r="C18" t="n">
        <x:v>700000</x:v>
      </x:c>
      <x:c r="D18"/>
    </x:row>
    <x:row r="19">
      <x:c r="A19" t="str">
        <x:v>Toyota Diesel</x:v>
      </x:c>
      <x:c r="B19" t="n">
        <x:v>11</x:v>
      </x:c>
      <x:c r="C19" t="n">
        <x:v>737500</x:v>
      </x:c>
      <x:c r="D19"/>
    </x:row>
    <x:row r="20">
      <x:c r="A20" t="str">
        <x:v>Toyota Diesel</x:v>
      </x:c>
      <x:c r="B20" t="n">
        <x:v>12</x:v>
      </x:c>
      <x:c r="C20" t="n">
        <x:v>542500</x:v>
      </x:c>
      <x:c r="D20"/>
    </x:row>
    <x:row r="21">
      <x:c r="A21" t="str">
        <x:v>Toyota Diesel</x:v>
      </x:c>
      <x:c r="B21" t="n">
        <x:v>13</x:v>
      </x:c>
      <x:c r="C21" t="n">
        <x:v>485000</x:v>
      </x:c>
      <x:c r="D21"/>
    </x:row>
    <x:row r="22">
      <x:c r="A22" t="str">
        <x:v>Toyota Diesel</x:v>
      </x:c>
      <x:c r="B22" t="n">
        <x:v>14</x:v>
      </x:c>
      <x:c r="C22" t="n">
        <x:v>462000</x:v>
      </x:c>
      <x:c r="D22"/>
    </x:row>
    <x:row r="23">
      <x:c r="A23" t="str">
        <x:v>Toyota Diesel</x:v>
      </x:c>
      <x:c r="B23" t="n">
        <x:v>15</x:v>
      </x:c>
      <x:c r="C23" t="n">
        <x:v>390000</x:v>
      </x:c>
      <x:c r="D23"/>
    </x:row>
    <x:row r="24">
      <x:c r="A24" t="str">
        <x:v>Toyota Diesel</x:v>
      </x:c>
      <x:c r="B24" t="n">
        <x:v>16</x:v>
      </x:c>
      <x:c r="C24"/>
      <x:c r="D24" t="n">
        <x:v>391344.1908363882</x:v>
      </x:c>
      <x:c r="F24" s="11" t="str">
        <x:v>Forecast Age</x:v>
      </x:c>
      <x:c r="G24" s="11" t="str">
        <x:v>Forecast Price</x:v>
      </x:c>
      <x:c r="H24" s="11" t="str">
        <x:v>Method</x:v>
      </x:c>
    </x:row>
    <x:row r="25">
      <x:c r="A25" t="str">
        <x:v>Toyota Diesel</x:v>
      </x:c>
      <x:c r="B25" t="n">
        <x:v>17</x:v>
      </x:c>
      <x:c r="C25"/>
      <x:c r="D25" t="n">
        <x:v>391344.1908363882</x:v>
      </x:c>
      <x:c r="F25" t="n">
        <x:v>16</x:v>
      </x:c>
      <x:c r="G25" t="n">
        <x:v>391344.1908363882</x:v>
      </x:c>
      <x:c r="H25" t="str">
        <x:v>Simple Exponential Smoothing</x:v>
      </x:c>
    </x:row>
    <x:row r="26">
      <x:c r="F26" t="n">
        <x:v>17</x:v>
      </x:c>
      <x:c r="G26" t="n">
        <x:v>391344.1908363882</x:v>
      </x:c>
      <x:c r="H26" t="str">
        <x:v>Simple Exponential Smoothing</x:v>
      </x:c>
    </x:row>
  </x:sheetData>
  <x:mergeCells>
    <x:mergeCell ref="A1:N1"/>
    <x:mergeCell ref="A6:H6"/>
  </x:mergeCells>
  <x:pageMargins left="0.7" right="0.7" top="0.75" bottom="0.75" header="0.3" footer="0.3"/>
  <x:drawing xmlns:r="http://schemas.openxmlformats.org/officeDocument/2006/relationships" r:id="R9f55ae1637a44e4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30" t="str">
        <x:v>brand</x:v>
      </x:c>
      <x:c r="B1" s="30" t="str">
        <x:v>age_band</x:v>
      </x:c>
      <x:c r="C1" s="30" t="str">
        <x:v>fuel_type</x:v>
      </x:c>
      <x:c r="D1" s="30" t="str">
        <x:v>listings</x:v>
      </x:c>
      <x:c r="E1" s="30" t="str">
        <x:v>mean_price</x:v>
      </x:c>
      <x:c r="F1" s="30" t="str">
        <x:v>std_dev</x:v>
      </x:c>
      <x:c r="G1" s="30" t="str">
        <x:v>median_price</x:v>
      </x:c>
      <x:c r="H1" s="30" t="str">
        <x:v>q1</x:v>
      </x:c>
      <x:c r="I1" s="30" t="str">
        <x:v>q3</x:v>
      </x:c>
      <x:c r="J1" s="30" t="str">
        <x:v>iqr</x:v>
      </x:c>
      <x:c r="K1" s="30" t="str">
        <x:v>cv</x:v>
      </x:c>
      <x:c r="L1" s="30" t="str">
        <x:v>pricing_risk</x:v>
      </x:c>
      <x:c r="M1" s="30" t="str">
        <x:v>retention_proxy</x:v>
      </x:c>
      <x:c r="N1" s="30" t="str">
        <x:v>retention_score</x:v>
      </x:c>
      <x:c r="O1" s="30" t="str">
        <x:v>price_score</x:v>
      </x:c>
      <x:c r="P1" s="30" t="str">
        <x:v>volume_score</x:v>
      </x:c>
      <x:c r="Q1" s="30" t="str">
        <x:v>stability_score</x:v>
      </x:c>
      <x:c r="R1" s="30" t="str">
        <x:v>attractiveness_score</x:v>
      </x:c>
      <x:c r="S1" s="30" t="str">
        <x:v>priority</x:v>
      </x:c>
    </x:row>
    <x:row r="2">
      <x:c r="A2" s="31" t="str">
        <x:v>Audi</x:v>
      </x:c>
      <x:c r="B2" s="31" t="str">
        <x:v>9-12 years</x:v>
      </x:c>
      <x:c r="C2" s="31" t="str">
        <x:v>Diesel</x:v>
      </x:c>
      <x:c r="D2" s="31" t="n">
        <x:v>56</x:v>
      </x:c>
      <x:c r="E2" s="31" t="n">
        <x:v>1372321.4285714286</x:v>
      </x:c>
      <x:c r="F2" s="31" t="n">
        <x:v>365620.8720490696</x:v>
      </x:c>
      <x:c r="G2" s="31" t="n">
        <x:v>1299500</x:v>
      </x:c>
      <x:c r="H2" s="31" t="n">
        <x:v>1100000</x:v>
      </x:c>
      <x:c r="I2" s="31" t="n">
        <x:v>1562500</x:v>
      </x:c>
      <x:c r="J2" s="31" t="n">
        <x:v>462500</x:v>
      </x:c>
      <x:c r="K2" s="31" t="n">
        <x:v>0.2664250986954833</x:v>
      </x:c>
      <x:c r="L2" s="31" t="str">
        <x:v>Standard</x:v>
      </x:c>
      <x:c r="M2" s="31" t="n">
        <x:v>0.7518840579710145</x:v>
      </x:c>
      <x:c r="N2" s="31" t="n">
        <x:v>56.53951901462673</x:v>
      </x:c>
      <x:c r="O2" s="31" t="n">
        <x:v>79.69391564016428</x:v>
      </x:c>
      <x:c r="P2" s="31" t="n">
        <x:v>11.106851228249944</x:v>
      </x:c>
      <x:c r="Q2" s="31" t="n">
        <x:v>77.96786421921732</x:v>
      </x:c>
      <x:c r="R2" s="31" t="n">
        <x:v>57.61355622570122</x:v>
      </x:c>
      <x:c r="S2" s="31" t="str">
        <x:v>Yellow</x:v>
      </x:c>
    </x:row>
    <x:row r="3">
      <x:c r="A3" s="31" t="str">
        <x:v>BMW</x:v>
      </x:c>
      <x:c r="B3" s="31" t="str">
        <x:v>6-8 years</x:v>
      </x:c>
      <x:c r="C3" s="31" t="str">
        <x:v>Diesel</x:v>
      </x:c>
      <x:c r="D3" s="31" t="n">
        <x:v>131</x:v>
      </x:c>
      <x:c r="E3" s="31" t="n">
        <x:v>2224633.58778626</x:v>
      </x:c>
      <x:c r="F3" s="31" t="n">
        <x:v>904426.4838610912</x:v>
      </x:c>
      <x:c r="G3" s="31" t="n">
        <x:v>2025000</x:v>
      </x:c>
      <x:c r="H3" s="31" t="n">
        <x:v>1650000</x:v>
      </x:c>
      <x:c r="I3" s="31" t="n">
        <x:v>2550000</x:v>
      </x:c>
      <x:c r="J3" s="31" t="n">
        <x:v>900000</x:v>
      </x:c>
      <x:c r="K3" s="31" t="n">
        <x:v>0.4065507636073629</x:v>
      </x:c>
      <x:c r="L3" s="31" t="str">
        <x:v>High</x:v>
      </x:c>
      <x:c r="M3" s="31" t="n">
        <x:v>0.6136363636363636</x:v>
      </x:c>
      <x:c r="N3" s="31" t="n">
        <x:v>24.169932516692487</x:v>
      </x:c>
      <x:c r="O3" s="31" t="n">
        <x:v>100</x:v>
      </x:c>
      <x:c r="P3" s="31" t="n">
        <x:v>40.94261556939918</x:v>
      </x:c>
      <x:c r="Q3" s="31" t="n">
        <x:v>27.59270705823087</x:v>
      </x:c>
      <x:c r="R3" s="31" t="n">
        <x:v>50.78690555345684</x:v>
      </x:c>
      <x:c r="S3" s="31" t="str">
        <x:v>Yellow</x:v>
      </x:c>
    </x:row>
    <x:row r="4">
      <x:c r="A4" s="31" t="str">
        <x:v>BMW</x:v>
      </x:c>
      <x:c r="B4" s="31" t="str">
        <x:v>9-12 years</x:v>
      </x:c>
      <x:c r="C4" s="31" t="str">
        <x:v>Diesel</x:v>
      </x:c>
      <x:c r="D4" s="31" t="n">
        <x:v>96</x:v>
      </x:c>
      <x:c r="E4" s="31" t="n">
        <x:v>1212187.5</x:v>
      </x:c>
      <x:c r="F4" s="31" t="n">
        <x:v>388361.2347856189</x:v>
      </x:c>
      <x:c r="G4" s="31" t="n">
        <x:v>1150000</x:v>
      </x:c>
      <x:c r="H4" s="31" t="n">
        <x:v>900000</x:v>
      </x:c>
      <x:c r="I4" s="31" t="n">
        <x:v>1462500</x:v>
      </x:c>
      <x:c r="J4" s="31" t="n">
        <x:v>562500</x:v>
      </x:c>
      <x:c r="K4" s="31" t="n">
        <x:v>0.3203804978896572</x:v>
      </x:c>
      <x:c r="L4" s="31" t="str">
        <x:v>Standard</x:v>
      </x:c>
      <x:c r="M4" s="31" t="n">
        <x:v>0.5679012345679012</x:v>
      </x:c>
      <x:c r="N4" s="31" t="n">
        <x:v>13.461419629727672</x:v>
      </x:c>
      <x:c r="O4" s="31" t="n">
        <x:v>68.53303471444573</x:v>
      </x:c>
      <x:c r="P4" s="31" t="n">
        <x:v>29.996355806114032</x:v>
      </x:c>
      <x:c r="Q4" s="31" t="n">
        <x:v>58.570905669193394</x:v>
      </x:c>
      <x:c r="R4" s="31" t="n">
        <x:v>40.05631429634022</x:v>
      </x:c>
      <x:c r="S4" s="31" t="str">
        <x:v>Yellow</x:v>
      </x:c>
    </x:row>
    <x:row r="5">
      <x:c r="A5" s="31" t="str">
        <x:v>Ford</x:v>
      </x:c>
      <x:c r="B5" s="31" t="str">
        <x:v>3-5 years</x:v>
      </x:c>
      <x:c r="C5" s="31" t="str">
        <x:v>Diesel</x:v>
      </x:c>
      <x:c r="D5" s="31" t="n">
        <x:v>187</x:v>
      </x:c>
      <x:c r="E5" s="31" t="n">
        <x:v>1003700.5347593584</x:v>
      </x:c>
      <x:c r="F5" s="31" t="n">
        <x:v>714082.3467993484</x:v>
      </x:c>
      <x:c r="G5" s="31" t="n">
        <x:v>750000</x:v>
      </x:c>
      <x:c r="H5" s="31" t="n">
        <x:v>612500</x:v>
      </x:c>
      <x:c r="I5" s="31" t="n">
        <x:v>950000</x:v>
      </x:c>
      <x:c r="J5" s="31" t="n">
        <x:v>337500</x:v>
      </x:c>
      <x:c r="K5" s="31" t="n">
        <x:v>0.7114496028146013</x:v>
      </x:c>
      <x:c r="L5" s="31" t="str">
        <x:v>High</x:v>
      </x:c>
      <x:c r="M5" s="31" t="n">
        <x:v>0.745945945945946</x:v>
      </x:c>
      <x:c r="N5" s="31" t="n">
        <x:v>55.14915781001528</x:v>
      </x:c>
      <x:c r="O5" s="31" t="n">
        <x:v>38.67114594998136</x:v>
      </x:c>
      <x:c r="P5" s="31" t="n">
        <x:v>53.50720345343033</x:v>
      </x:c>
      <x:c r="Q5" s="31" t="n">
        <x:v>0</x:v>
      </x:c>
      <x:c r="R5" s="31" t="n">
        <x:v>41.604989709185816</x:v>
      </x:c>
      <x:c r="S5" s="31" t="str">
        <x:v>Yellow</x:v>
      </x:c>
    </x:row>
    <x:row r="6">
      <x:c r="A6" s="31" t="str">
        <x:v>Ford</x:v>
      </x:c>
      <x:c r="B6" s="31" t="str">
        <x:v>3-5 years</x:v>
      </x:c>
      <x:c r="C6" s="31" t="str">
        <x:v>Petrol</x:v>
      </x:c>
      <x:c r="D6" s="31" t="n">
        <x:v>111</x:v>
      </x:c>
      <x:c r="E6" s="31" t="n">
        <x:v>648333.3333333334</x:v>
      </x:c>
      <x:c r="F6" s="31" t="n">
        <x:v>160595.3318314719</x:v>
      </x:c>
      <x:c r="G6" s="31" t="n">
        <x:v>630000</x:v>
      </x:c>
      <x:c r="H6" s="31" t="n">
        <x:v>537500</x:v>
      </x:c>
      <x:c r="I6" s="31" t="n">
        <x:v>725000</x:v>
      </x:c>
      <x:c r="J6" s="31" t="n">
        <x:v>187500</x:v>
      </x:c>
      <x:c r="K6" s="31" t="n">
        <x:v>0.2477048820022702</x:v>
      </x:c>
      <x:c r="L6" s="31" t="str">
        <x:v>Standard</x:v>
      </x:c>
      <x:c r="M6" s="31" t="n">
        <x:v>0.745945945945946</x:v>
      </x:c>
      <x:c r="N6" s="31" t="n">
        <x:v>55.14915781001528</x:v>
      </x:c>
      <x:c r="O6" s="31" t="n">
        <x:v>29.71257932064205</x:v>
      </x:c>
      <x:c r="P6" s="31" t="n">
        <x:v>35.10504093802596</x:v>
      </x:c>
      <x:c r="Q6" s="31" t="n">
        <x:v>84.69777953202868</x:v>
      </x:c>
      <x:c r="R6" s="31" t="n">
        <x:v>47.94165414710746</x:v>
      </x:c>
      <x:c r="S6" s="31" t="str">
        <x:v>Yellow</x:v>
      </x:c>
    </x:row>
    <x:row r="7">
      <x:c r="A7" s="31" t="str">
        <x:v>Ford</x:v>
      </x:c>
      <x:c r="B7" s="31" t="str">
        <x:v>6-8 years</x:v>
      </x:c>
      <x:c r="C7" s="31" t="str">
        <x:v>Diesel</x:v>
      </x:c>
      <x:c r="D7" s="31" t="n">
        <x:v>206</x:v>
      </x:c>
      <x:c r="E7" s="31" t="n">
        <x:v>487655.33980582526</x:v>
      </x:c>
      <x:c r="F7" s="31" t="n">
        <x:v>190912.2966708218</x:v>
      </x:c>
      <x:c r="G7" s="31" t="n">
        <x:v>477500</x:v>
      </x:c>
      <x:c r="H7" s="31" t="n">
        <x:v>396250</x:v>
      </x:c>
      <x:c r="I7" s="31" t="n">
        <x:v>574000</x:v>
      </x:c>
      <x:c r="J7" s="31" t="n">
        <x:v>177750</x:v>
      </x:c>
      <x:c r="K7" s="31" t="n">
        <x:v>0.3914902208326875</x:v>
      </x:c>
      <x:c r="L7" s="31" t="str">
        <x:v>High</x:v>
      </x:c>
      <x:c r="M7" s="31" t="n">
        <x:v>0.7195652173913043</x:v>
      </x:c>
      <x:c r="N7" s="31" t="n">
        <x:v>48.97232224731205</x:v>
      </x:c>
      <x:c r="O7" s="31" t="n">
        <x:v>18.327734229190007</x:v>
      </x:c>
      <x:c r="P7" s="31" t="n">
        <x:v>56.9278531523971</x:v>
      </x:c>
      <x:c r="Q7" s="31" t="n">
        <x:v>33.00697010334214</x:v>
      </x:c>
      <x:c r="R7" s="31" t="n">
        <x:v>38.97524920129696</x:v>
      </x:c>
      <x:c r="S7" s="31" t="str">
        <x:v>Red</x:v>
      </x:c>
    </x:row>
    <x:row r="8">
      <x:c r="A8" s="31" t="str">
        <x:v>Ford</x:v>
      </x:c>
      <x:c r="B8" s="31" t="str">
        <x:v>6-8 years</x:v>
      </x:c>
      <x:c r="C8" s="31" t="str">
        <x:v>Petrol</x:v>
      </x:c>
      <x:c r="D8" s="31" t="n">
        <x:v>62</x:v>
      </x:c>
      <x:c r="E8" s="31" t="n">
        <x:v>518354.8387096774</x:v>
      </x:c>
      <x:c r="F8" s="31" t="n">
        <x:v>143706.67949090406</x:v>
      </x:c>
      <x:c r="G8" s="31" t="n">
        <x:v>532500</x:v>
      </x:c>
      <x:c r="H8" s="31" t="n">
        <x:v>419000</x:v>
      </x:c>
      <x:c r="I8" s="31" t="n">
        <x:v>632500</x:v>
      </x:c>
      <x:c r="J8" s="31" t="n">
        <x:v>213500</x:v>
      </x:c>
      <x:c r="K8" s="31" t="n">
        <x:v>0.2772361107858626</x:v>
      </x:c>
      <x:c r="L8" s="31" t="str">
        <x:v>Standard</x:v>
      </x:c>
      <x:c r="M8" s="31" t="n">
        <x:v>0.7195652173913043</x:v>
      </x:c>
      <x:c r="N8" s="31" t="n">
        <x:v>48.97232224731205</x:v>
      </x:c>
      <x:c r="O8" s="31" t="n">
        <x:v>22.433743934303852</x:v>
      </x:c>
      <x:c r="P8" s="31" t="n">
        <x:v>14.662747811427725</x:v>
      </x:c>
      <x:c r="Q8" s="31" t="n">
        <x:v>74.08130686753829</x:v>
      </x:c>
      <x:c r="R8" s="31" t="n">
        <x:v>37.91518155926666</x:v>
      </x:c>
      <x:c r="S8" s="31" t="str">
        <x:v>Red</x:v>
      </x:c>
    </x:row>
    <x:row r="9">
      <x:c r="A9" s="31" t="str">
        <x:v>Ford</x:v>
      </x:c>
      <x:c r="B9" s="31" t="str">
        <x:v>9-12 years</x:v>
      </x:c>
      <x:c r="C9" s="31" t="str">
        <x:v>Diesel</x:v>
      </x:c>
      <x:c r="D9" s="31" t="n">
        <x:v>104</x:v>
      </x:c>
      <x:c r="E9" s="31" t="n">
        <x:v>280730.76923076925</x:v>
      </x:c>
      <x:c r="F9" s="31" t="n">
        <x:v>155556.39134642758</x:v>
      </x:c>
      <x:c r="G9" s="31" t="n">
        <x:v>250000</x:v>
      </x:c>
      <x:c r="H9" s="31" t="n">
        <x:v>200000</x:v>
      </x:c>
      <x:c r="I9" s="31" t="n">
        <x:v>286250</x:v>
      </x:c>
      <x:c r="J9" s="31" t="n">
        <x:v>86250</x:v>
      </x:c>
      <x:c r="K9" s="31" t="n">
        <x:v>0.554112368133596</x:v>
      </x:c>
      <x:c r="L9" s="31" t="str">
        <x:v>High</x:v>
      </x:c>
      <x:c r="M9" s="31" t="n">
        <x:v>0.4833836858006042</x:v>
      </x:c>
      <x:c r="N9" s="31" t="n">
        <x:v>0</x:v>
      </x:c>
      <x:c r="O9" s="31" t="n">
        <x:v>1.3437849944008964</x:v>
      </x:c>
      <x:c r="P9" s="31" t="n">
        <x:v>32.81203158258113</x:v>
      </x:c>
      <x:c r="Q9" s="31" t="n">
        <x:v>0</x:v>
      </x:c>
      <x:c r="R9" s="31" t="n">
        <x:v>6.965541814836495</x:v>
      </x:c>
      <x:c r="S9" s="31" t="str">
        <x:v>Red</x:v>
      </x:c>
    </x:row>
    <x:row r="10">
      <x:c r="A10" s="31" t="str">
        <x:v>Ford</x:v>
      </x:c>
      <x:c r="B10" s="31" t="str">
        <x:v>9-12 years</x:v>
      </x:c>
      <x:c r="C10" s="31" t="str">
        <x:v>Petrol</x:v>
      </x:c>
      <x:c r="D10" s="31" t="n">
        <x:v>41</x:v>
      </x:c>
      <x:c r="E10" s="31" t="n">
        <x:v>235195.1219512195</x:v>
      </x:c>
      <x:c r="F10" s="31" t="n">
        <x:v>60397.52458180515</x:v>
      </x:c>
      <x:c r="G10" s="31" t="n">
        <x:v>235000</x:v>
      </x:c>
      <x:c r="H10" s="31" t="n">
        <x:v>199000</x:v>
      </x:c>
      <x:c r="I10" s="31" t="n">
        <x:v>270000</x:v>
      </x:c>
      <x:c r="J10" s="31" t="n">
        <x:v>71000</x:v>
      </x:c>
      <x:c r="K10" s="31" t="n">
        <x:v>0.2567975223326777</x:v>
      </x:c>
      <x:c r="L10" s="31" t="str">
        <x:v>Standard</x:v>
      </x:c>
      <x:c r="M10" s="31" t="n">
        <x:v>0.4833836858006042</x:v>
      </x:c>
      <x:c r="N10" s="31" t="n">
        <x:v>0</x:v>
      </x:c>
      <x:c r="O10" s="31" t="n">
        <x:v>0.2239641657334827</x:v>
      </x:c>
      <x:c r="P10" s="31" t="n">
        <x:v>0.2568508399641678</x:v>
      </x:c>
      <x:c r="Q10" s="31" t="n">
        <x:v>81.42897659046443</x:v>
      </x:c>
      <x:c r="R10" s="31" t="n">
        <x:v>12.332905906282544</x:v>
      </x:c>
      <x:c r="S10" s="31" t="str">
        <x:v>Red</x:v>
      </x:c>
    </x:row>
    <x:row r="11">
      <x:c r="A11" s="31" t="str">
        <x:v>Honda</x:v>
      </x:c>
      <x:c r="B11" s="31" t="str">
        <x:v>3-5 years</x:v>
      </x:c>
      <x:c r="C11" s="31" t="str">
        <x:v>Diesel</x:v>
      </x:c>
      <x:c r="D11" s="31" t="n">
        <x:v>174</x:v>
      </x:c>
      <x:c r="E11" s="31" t="n">
        <x:v>745695.4022988506</x:v>
      </x:c>
      <x:c r="F11" s="31" t="n">
        <x:v>180531.11842179272</x:v>
      </x:c>
      <x:c r="G11" s="31" t="n">
        <x:v>750000</x:v>
      </x:c>
      <x:c r="H11" s="31" t="n">
        <x:v>625000</x:v>
      </x:c>
      <x:c r="I11" s="31" t="n">
        <x:v>860000</x:v>
      </x:c>
      <x:c r="J11" s="31" t="n">
        <x:v>235000</x:v>
      </x:c>
      <x:c r="K11" s="31" t="n">
        <x:v>0.2420976686529732</x:v>
      </x:c>
      <x:c r="L11" s="31" t="str">
        <x:v>Standard</x:v>
      </x:c>
      <x:c r="M11" s="31" t="n">
        <x:v>0.8660714285714286</x:v>
      </x:c>
      <x:c r="N11" s="31" t="n">
        <x:v>83.27557408889459</x:v>
      </x:c>
      <x:c r="O11" s="31" t="n">
        <x:v>38.67114594998136</x:v>
      </x:c>
      <x:c r="P11" s="31" t="n">
        <x:v>50.96131535373456</x:v>
      </x:c>
      <x:c r="Q11" s="31" t="n">
        <x:v>86.71357195580524</x:v>
      </x:c>
      <x:c r="R11" s="31" t="n">
        <x:v>63.94709358022521</x:v>
      </x:c>
      <x:c r="S11" s="31" t="str">
        <x:v>Yellow</x:v>
      </x:c>
    </x:row>
    <x:row r="12">
      <x:c r="A12" s="31" t="str">
        <x:v>Honda</x:v>
      </x:c>
      <x:c r="B12" s="31" t="str">
        <x:v>3-5 years</x:v>
      </x:c>
      <x:c r="C12" s="31" t="str">
        <x:v>Petrol</x:v>
      </x:c>
      <x:c r="D12" s="31" t="n">
        <x:v>412</x:v>
      </x:c>
      <x:c r="E12" s="31" t="n">
        <x:v>758174.7572815533</x:v>
      </x:c>
      <x:c r="F12" s="31" t="n">
        <x:v>258083.9346365039</x:v>
      </x:c>
      <x:c r="G12" s="31" t="n">
        <x:v>725000</x:v>
      </x:c>
      <x:c r="H12" s="31" t="n">
        <x:v>607500</x:v>
      </x:c>
      <x:c r="I12" s="31" t="n">
        <x:v>846000</x:v>
      </x:c>
      <x:c r="J12" s="31" t="n">
        <x:v>238500</x:v>
      </x:c>
      <x:c r="K12" s="31" t="n">
        <x:v>0.3404016450796484</x:v>
      </x:c>
      <x:c r="L12" s="31" t="str">
        <x:v>Standard</x:v>
      </x:c>
      <x:c r="M12" s="31" t="n">
        <x:v>0.8660714285714286</x:v>
      </x:c>
      <x:c r="N12" s="31" t="n">
        <x:v>83.27557408889459</x:v>
      </x:c>
      <x:c r="O12" s="31" t="n">
        <x:v>36.80477790220233</x:v>
      </x:c>
      <x:c r="P12" s="31" t="n">
        <x:v>81.46897327507843</x:v>
      </x:c>
      <x:c r="Q12" s="31" t="n">
        <x:v>51.37330602266681</x:v>
      </x:c>
      <x:c r="R12" s="31" t="n">
        <x:v>64.18767486018952</x:v>
      </x:c>
      <x:c r="S12" s="31" t="str">
        <x:v>Yellow</x:v>
      </x:c>
    </x:row>
    <x:row r="13">
      <x:c r="A13" s="31" t="str">
        <x:v>Honda</x:v>
      </x:c>
      <x:c r="B13" s="31" t="str">
        <x:v>6-8 years</x:v>
      </x:c>
      <x:c r="C13" s="31" t="str">
        <x:v>Diesel</x:v>
      </x:c>
      <x:c r="D13" s="31" t="n">
        <x:v>265</x:v>
      </x:c>
      <x:c r="E13" s="31" t="n">
        <x:v>507139.6226415095</x:v>
      </x:c>
      <x:c r="F13" s="31" t="n">
        <x:v>120250.65100879446</x:v>
      </x:c>
      <x:c r="G13" s="31" t="n">
        <x:v>515000</x:v>
      </x:c>
      <x:c r="H13" s="31" t="n">
        <x:v>410000</x:v>
      </x:c>
      <x:c r="I13" s="31" t="n">
        <x:v>600000</x:v>
      </x:c>
      <x:c r="J13" s="31" t="n">
        <x:v>190000</x:v>
      </x:c>
      <x:c r="K13" s="31" t="n">
        <x:v>0.2371154720320445</x:v>
      </x:c>
      <x:c r="L13" s="31" t="str">
        <x:v>Standard</x:v>
      </x:c>
      <x:c r="M13" s="31" t="n">
        <x:v>0.7216494845360825</x:v>
      </x:c>
      <x:c r="N13" s="31" t="n">
        <x:v>49.46033664749716</x:v>
      </x:c>
      <x:c r="O13" s="31" t="n">
        <x:v>21.127286300858543</x:v>
      </x:c>
      <x:c r="P13" s="31" t="n">
        <x:v>65.8378061398293</x:v>
      </x:c>
      <x:c r="Q13" s="31" t="n">
        <x:v>88.5046709521529</x:v>
      </x:c>
      <x:c r="R13" s="31" t="n">
        <x:v>50.09256558767036</x:v>
      </x:c>
      <x:c r="S13" s="31" t="str">
        <x:v>Yellow</x:v>
      </x:c>
    </x:row>
    <x:row r="14">
      <x:c r="A14" s="31" t="str">
        <x:v>Honda</x:v>
      </x:c>
      <x:c r="B14" s="31" t="str">
        <x:v>6-8 years</x:v>
      </x:c>
      <x:c r="C14" s="31" t="str">
        <x:v>Petrol</x:v>
      </x:c>
      <x:c r="D14" s="31" t="n">
        <x:v>218</x:v>
      </x:c>
      <x:c r="E14" s="31" t="n">
        <x:v>572821.1009174312</x:v>
      </x:c>
      <x:c r="F14" s="31" t="n">
        <x:v>181471.8881497741</x:v>
      </x:c>
      <x:c r="G14" s="31" t="n">
        <x:v>550000</x:v>
      </x:c>
      <x:c r="H14" s="31" t="n">
        <x:v>450000</x:v>
      </x:c>
      <x:c r="I14" s="31" t="n">
        <x:v>650000</x:v>
      </x:c>
      <x:c r="J14" s="31" t="n">
        <x:v>200000</x:v>
      </x:c>
      <x:c r="K14" s="31" t="n">
        <x:v>0.316803776709916</x:v>
      </x:c>
      <x:c r="L14" s="31" t="str">
        <x:v>Standard</x:v>
      </x:c>
      <x:c r="M14" s="31" t="n">
        <x:v>0.7216494845360825</x:v>
      </x:c>
      <x:c r="N14" s="31" t="n">
        <x:v>49.46033664749716</x:v>
      </x:c>
      <x:c r="O14" s="31" t="n">
        <x:v>23.74020156774917</x:v>
      </x:c>
      <x:c r="P14" s="31" t="n">
        <x:v>58.93003430623999</x:v>
      </x:c>
      <x:c r="Q14" s="31" t="n">
        <x:v>59.85673643876584</x:v>
      </x:c>
      <x:c r="R14" s="31" t="n">
        <x:v>45.19769562401163</x:v>
      </x:c>
      <x:c r="S14" s="31" t="str">
        <x:v>Yellow</x:v>
      </x:c>
    </x:row>
    <x:row r="15">
      <x:c r="A15" s="31" t="str">
        <x:v>Honda</x:v>
      </x:c>
      <x:c r="B15" s="31" t="str">
        <x:v>9-12 years</x:v>
      </x:c>
      <x:c r="C15" s="31" t="str">
        <x:v>Petrol</x:v>
      </x:c>
      <x:c r="D15" s="31" t="n">
        <x:v>195</x:v>
      </x:c>
      <x:c r="E15" s="31" t="n">
        <x:v>354600</x:v>
      </x:c>
      <x:c r="F15" s="31" t="n">
        <x:v>87846.83249486824</x:v>
      </x:c>
      <x:c r="G15" s="31" t="n">
        <x:v>345000</x:v>
      </x:c>
      <x:c r="H15" s="31" t="n">
        <x:v>297000</x:v>
      </x:c>
      <x:c r="I15" s="31" t="n">
        <x:v>397500</x:v>
      </x:c>
      <x:c r="J15" s="31" t="n">
        <x:v>100500</x:v>
      </x:c>
      <x:c r="K15" s="31" t="n">
        <x:v>0.2477350042156464</x:v>
      </x:c>
      <x:c r="L15" s="31" t="str">
        <x:v>Standard</x:v>
      </x:c>
      <x:c r="M15" s="31" t="n">
        <x:v>0.6571428571428571</x:v>
      </x:c>
      <x:c r="N15" s="31" t="n">
        <x:v>34.35662829891124</x:v>
      </x:c>
      <x:c r="O15" s="31" t="n">
        <x:v>8.435983575961185</x:v>
      </x:c>
      <x:c r="P15" s="31" t="n">
        <x:v>54.98780575154352</x:v>
      </x:c>
      <x:c r="Q15" s="31" t="n">
        <x:v>84.68695060048485</x:v>
      </x:c>
      <x:c r="R15" s="31" t="n">
        <x:v>38.25621871778872</x:v>
      </x:c>
      <x:c r="S15" s="31" t="str">
        <x:v>Red</x:v>
      </x:c>
    </x:row>
    <x:row r="16">
      <x:c r="A16" s="31" t="str">
        <x:v>Honda</x:v>
      </x:c>
      <x:c r="B16" s="31" t="str">
        <x:v>13+ years</x:v>
      </x:c>
      <x:c r="C16" s="31" t="str">
        <x:v>Petrol</x:v>
      </x:c>
      <x:c r="D16" s="31" t="n">
        <x:v>91</x:v>
      </x:c>
      <x:c r="E16" s="31" t="n">
        <x:v>243285.7142857143</x:v>
      </x:c>
      <x:c r="F16" s="31" t="n">
        <x:v>115738.8137829009</x:v>
      </x:c>
      <x:c r="G16" s="31" t="n">
        <x:v>225000</x:v>
      </x:c>
      <x:c r="H16" s="31" t="n">
        <x:v>157500</x:v>
      </x:c>
      <x:c r="I16" s="31" t="n">
        <x:v>300000</x:v>
      </x:c>
      <x:c r="J16" s="31" t="n">
        <x:v>142500</x:v>
      </x:c>
      <x:c r="K16" s="31" t="n">
        <x:v>0.4757320590019415</x:v>
      </x:c>
      <x:c r="L16" s="31" t="str">
        <x:v>High</x:v>
      </x:c>
      <x:c r="M16" s="31" t="n">
        <x:v>0.6521739130434783</x:v>
      </x:c>
      <x:c r="N16" s="31" t="n">
        <x:v>33.19318997466043</x:v>
      </x:c>
      <x:c r="O16" s="31" t="n">
        <x:v>0</x:v>
      </x:c>
      <x:c r="P16" s="31" t="n">
        <x:v>28.116059209469995</x:v>
      </x:c>
      <x:c r="Q16" s="31" t="n">
        <x:v>2.722040929409033</x:v>
      </x:c>
      <x:c r="R16" s="31" t="n">
        <x:v>17.649134472436504</x:v>
      </x:c>
      <x:c r="S16" s="31" t="str">
        <x:v>Red</x:v>
      </x:c>
    </x:row>
    <x:row r="17">
      <x:c r="A17" s="31" t="str">
        <x:v>Hyundai</x:v>
      </x:c>
      <x:c r="B17" s="31" t="str">
        <x:v>3-5 years</x:v>
      </x:c>
      <x:c r="C17" s="31" t="str">
        <x:v>Diesel</x:v>
      </x:c>
      <x:c r="D17" s="31" t="n">
        <x:v>452</x:v>
      </x:c>
      <x:c r="E17" s="31" t="n">
        <x:v>866530.9734513274</x:v>
      </x:c>
      <x:c r="F17" s="31" t="n">
        <x:v>290632.304657968</x:v>
      </x:c>
      <x:c r="G17" s="31" t="n">
        <x:v>850000</x:v>
      </x:c>
      <x:c r="H17" s="31" t="n">
        <x:v>650000</x:v>
      </x:c>
      <x:c r="I17" s="31" t="n">
        <x:v>1050000</x:v>
      </x:c>
      <x:c r="J17" s="31" t="n">
        <x:v>400000</x:v>
      </x:c>
      <x:c r="K17" s="31" t="n">
        <x:v>0.3353974797927897</x:v>
      </x:c>
      <x:c r="L17" s="31" t="str">
        <x:v>Standard</x:v>
      </x:c>
      <x:c r="M17" s="31" t="n">
        <x:v>0.8468002585649644</x:v>
      </x:c>
      <x:c r="N17" s="31" t="n">
        <x:v>78.76338451898661</x:v>
      </x:c>
      <x:c r="O17" s="31" t="n">
        <x:v>46.13661814109744</x:v>
      </x:c>
      <x:c r="P17" s="31" t="n">
        <x:v>84.75346405974985</x:v>
      </x:c>
      <x:c r="Q17" s="31" t="n">
        <x:v>53.17230275137876</x:v>
      </x:c>
      <x:c r="R17" s="31" t="n">
        <x:v>66.33470824863133</x:v>
      </x:c>
      <x:c r="S17" s="31" t="str">
        <x:v>Yellow</x:v>
      </x:c>
    </x:row>
    <x:row r="18">
      <x:c r="A18" s="31" t="str">
        <x:v>Hyundai</x:v>
      </x:c>
      <x:c r="B18" s="31" t="str">
        <x:v>3-5 years</x:v>
      </x:c>
      <x:c r="C18" s="31" t="str">
        <x:v>Petrol</x:v>
      </x:c>
      <x:c r="D18" s="31" t="n">
        <x:v>679</x:v>
      </x:c>
      <x:c r="E18" s="31" t="n">
        <x:v>661197.3490427099</x:v>
      </x:c>
      <x:c r="F18" s="31" t="n">
        <x:v>230774.71665126013</x:v>
      </x:c>
      <x:c r="G18" s="31" t="n">
        <x:v>595000</x:v>
      </x:c>
      <x:c r="H18" s="31" t="n">
        <x:v>500000</x:v>
      </x:c>
      <x:c r="I18" s="31" t="n">
        <x:v>750000</x:v>
      </x:c>
      <x:c r="J18" s="31" t="n">
        <x:v>250000</x:v>
      </x:c>
      <x:c r="K18" s="31" t="n">
        <x:v>0.3490254717224423</x:v>
      </x:c>
      <x:c r="L18" s="31" t="str">
        <x:v>Standard</x:v>
      </x:c>
      <x:c r="M18" s="31" t="n">
        <x:v>0.8468002585649644</x:v>
      </x:c>
      <x:c r="N18" s="31" t="n">
        <x:v>78.76338451898661</x:v>
      </x:c>
      <x:c r="O18" s="31" t="n">
        <x:v>27.09966405375141</x:v>
      </x:c>
      <x:c r="P18" s="31" t="n">
        <x:v>99.1854951357969</x:v>
      </x:c>
      <x:c r="Q18" s="31" t="n">
        <x:v>48.27304153697789</x:v>
      </x:c>
      <x:c r="R18" s="31" t="n">
        <x:v>62.77513905547681</x:v>
      </x:c>
      <x:c r="S18" s="31" t="str">
        <x:v>Yellow</x:v>
      </x:c>
    </x:row>
    <x:row r="19">
      <x:c r="A19" s="31" t="str">
        <x:v>Hyundai</x:v>
      </x:c>
      <x:c r="B19" s="31" t="str">
        <x:v>6-8 years</x:v>
      </x:c>
      <x:c r="C19" s="31" t="str">
        <x:v>Diesel</x:v>
      </x:c>
      <x:c r="D19" s="31" t="n">
        <x:v>373</x:v>
      </x:c>
      <x:c r="E19" s="31" t="n">
        <x:v>555158.1769436997</x:v>
      </x:c>
      <x:c r="F19" s="31" t="n">
        <x:v>179902.62948493072</x:v>
      </x:c>
      <x:c r="G19" s="31" t="n">
        <x:v>525000</x:v>
      </x:c>
      <x:c r="H19" s="31" t="n">
        <x:v>425000</x:v>
      </x:c>
      <x:c r="I19" s="31" t="n">
        <x:v>650000</x:v>
      </x:c>
      <x:c r="J19" s="31" t="n">
        <x:v>225000</x:v>
      </x:c>
      <x:c r="K19" s="31" t="n">
        <x:v>0.3240565247103893</x:v>
      </x:c>
      <x:c r="L19" s="31" t="str">
        <x:v>Standard</x:v>
      </x:c>
      <x:c r="M19" s="31" t="n">
        <x:v>0.7251908396946565</x:v>
      </x:c>
      <x:c r="N19" s="31" t="n">
        <x:v>50.28951649513991</x:v>
      </x:c>
      <x:c r="O19" s="31" t="n">
        <x:v>21.873833519970148</x:v>
      </x:c>
      <x:c r="P19" s="31" t="n">
        <x:v>77.94475686660715</x:v>
      </x:c>
      <x:c r="Q19" s="31" t="n">
        <x:v>57.24937453541548</x:v>
      </x:c>
      <x:c r="R19" s="31" t="n">
        <x:v>48.33983838292376</x:v>
      </x:c>
      <x:c r="S19" s="31" t="str">
        <x:v>Yellow</x:v>
      </x:c>
    </x:row>
    <x:row r="20">
      <x:c r="A20" s="31" t="str">
        <x:v>Hyundai</x:v>
      </x:c>
      <x:c r="B20" s="31" t="str">
        <x:v>6-8 years</x:v>
      </x:c>
      <x:c r="C20" s="31" t="str">
        <x:v>Petrol</x:v>
      </x:c>
      <x:c r="D20" s="31" t="n">
        <x:v>493</x:v>
      </x:c>
      <x:c r="E20" s="31" t="n">
        <x:v>450174.44219066936</x:v>
      </x:c>
      <x:c r="F20" s="31" t="n">
        <x:v>122081.69827123077</x:v>
      </x:c>
      <x:c r="G20" s="31" t="n">
        <x:v>445000</x:v>
      </x:c>
      <x:c r="H20" s="31" t="n">
        <x:v>370000</x:v>
      </x:c>
      <x:c r="I20" s="31" t="n">
        <x:v>515000</x:v>
      </x:c>
      <x:c r="J20" s="31" t="n">
        <x:v>145000</x:v>
      </x:c>
      <x:c r="K20" s="31" t="n">
        <x:v>0.2711875371625908</x:v>
      </x:c>
      <x:c r="L20" s="31" t="str">
        <x:v>Standard</x:v>
      </x:c>
      <x:c r="M20" s="31" t="n">
        <x:v>0.7251908396946565</x:v>
      </x:c>
      <x:c r="N20" s="31" t="n">
        <x:v>50.28951649513991</x:v>
      </x:c>
      <x:c r="O20" s="31" t="n">
        <x:v>15.901455767077277</x:v>
      </x:c>
      <x:c r="P20" s="31" t="n">
        <x:v>87.83184429321203</x:v>
      </x:c>
      <x:c r="Q20" s="31" t="n">
        <x:v>76.25576824878294</x:v>
      </x:c>
      <x:c r="R20" s="31" t="n">
        <x:v>51.376501599382</x:v>
      </x:c>
      <x:c r="S20" s="31" t="str">
        <x:v>Yellow</x:v>
      </x:c>
    </x:row>
    <x:row r="21">
      <x:c r="A21" s="31" t="str">
        <x:v>Hyundai</x:v>
      </x:c>
      <x:c r="B21" s="31" t="str">
        <x:v>9-12 years</x:v>
      </x:c>
      <x:c r="C21" s="31" t="str">
        <x:v>Diesel</x:v>
      </x:c>
      <x:c r="D21" s="31" t="n">
        <x:v>152</x:v>
      </x:c>
      <x:c r="E21" s="31" t="n">
        <x:v>419855.2631578947</x:v>
      </x:c>
      <x:c r="F21" s="31" t="n">
        <x:v>115840.34502292208</x:v>
      </x:c>
      <x:c r="G21" s="31" t="n">
        <x:v>420000</x:v>
      </x:c>
      <x:c r="H21" s="31" t="n">
        <x:v>350000</x:v>
      </x:c>
      <x:c r="I21" s="31" t="n">
        <x:v>475000</x:v>
      </x:c>
      <x:c r="J21" s="31" t="n">
        <x:v>125000</x:v>
      </x:c>
      <x:c r="K21" s="31" t="n">
        <x:v>0.2759054254831576</x:v>
      </x:c>
      <x:c r="L21" s="31" t="str">
        <x:v>Standard</x:v>
      </x:c>
      <x:c r="M21" s="31" t="n">
        <x:v>0.6210526315789474</x:v>
      </x:c>
      <x:c r="N21" s="31" t="n">
        <x:v>25.906392049089565</x:v>
      </x:c>
      <x:c r="O21" s="31" t="n">
        <x:v>14.035087719298254</x:v>
      </x:c>
      <x:c r="P21" s="31" t="n">
        <x:v>46.18802126658169</x:v>
      </x:c>
      <x:c r="Q21" s="31" t="n">
        <x:v>74.55968804987009</x:v>
      </x:c>
      <x:c r="R21" s="31" t="n">
        <x:v>33.69932099376768</x:v>
      </x:c>
      <x:c r="S21" s="31" t="str">
        <x:v>Red</x:v>
      </x:c>
    </x:row>
    <x:row r="22">
      <x:c r="A22" s="31" t="str">
        <x:v>Hyundai</x:v>
      </x:c>
      <x:c r="B22" s="31" t="str">
        <x:v>9-12 years</x:v>
      </x:c>
      <x:c r="C22" s="31" t="str">
        <x:v>Petrol</x:v>
      </x:c>
      <x:c r="D22" s="31" t="n">
        <x:v>427</x:v>
      </x:c>
      <x:c r="E22" s="31" t="n">
        <x:v>274325.5269320843</x:v>
      </x:c>
      <x:c r="F22" s="31" t="n">
        <x:v>80613.51824211575</x:v>
      </x:c>
      <x:c r="G22" s="31" t="n">
        <x:v>266000</x:v>
      </x:c>
      <x:c r="H22" s="31" t="n">
        <x:v>217000</x:v>
      </x:c>
      <x:c r="I22" s="31" t="n">
        <x:v>325000</x:v>
      </x:c>
      <x:c r="J22" s="31" t="n">
        <x:v>108000</x:v>
      </x:c>
      <x:c r="K22" s="31" t="n">
        <x:v>0.2938607979492681</x:v>
      </x:c>
      <x:c r="L22" s="31" t="str">
        <x:v>Standard</x:v>
      </x:c>
      <x:c r="M22" s="31" t="n">
        <x:v>0.6210526315789474</x:v>
      </x:c>
      <x:c r="N22" s="31" t="n">
        <x:v>25.906392049089565</x:v>
      </x:c>
      <x:c r="O22" s="31" t="n">
        <x:v>2.5382605449794715</x:v>
      </x:c>
      <x:c r="P22" s="31" t="n">
        <x:v>82.73650294772413</x:v>
      </x:c>
      <x:c r="Q22" s="31" t="n">
        <x:v>68.10473413094897</x:v>
      </x:c>
      <x:c r="R22" s="31" t="n">
        <x:v>36.59172608986236</x:v>
      </x:c>
      <x:c r="S22" s="31" t="str">
        <x:v>Red</x:v>
      </x:c>
    </x:row>
    <x:row r="23">
      <x:c r="A23" s="31" t="str">
        <x:v>Hyundai</x:v>
      </x:c>
      <x:c r="B23" s="31" t="str">
        <x:v>13+ years</x:v>
      </x:c>
      <x:c r="C23" s="31" t="str">
        <x:v>Petrol</x:v>
      </x:c>
      <x:c r="D23" s="31" t="n">
        <x:v>66</x:v>
      </x:c>
      <x:c r="E23" s="31" t="n">
        <x:v>166803.0303030303</x:v>
      </x:c>
      <x:c r="F23" s="31" t="n">
        <x:v>56887.53268767574</x:v>
      </x:c>
      <x:c r="G23" s="31" t="n">
        <x:v>152500</x:v>
      </x:c>
      <x:c r="H23" s="31" t="n">
        <x:v>125000</x:v>
      </x:c>
      <x:c r="I23" s="31" t="n">
        <x:v>200000</x:v>
      </x:c>
      <x:c r="J23" s="31" t="n">
        <x:v>75000</x:v>
      </x:c>
      <x:c r="K23" s="31" t="n">
        <x:v>0.3410461583601234</x:v>
      </x:c>
      <x:c r="L23" s="31" t="str">
        <x:v>Standard</x:v>
      </x:c>
      <x:c r="M23" s="31" t="n">
        <x:v>0.5338983050847458</x:v>
      </x:c>
      <x:c r="N23" s="31" t="n">
        <x:v>5.499906981105626</x:v>
      </x:c>
      <x:c r="O23" s="31" t="n">
        <x:v>0</x:v>
      </x:c>
      <x:c r="P23" s="31" t="n">
        <x:v>16.849857495089196</x:v>
      </x:c>
      <x:c r="Q23" s="31" t="n">
        <x:v>51.141603587451314</x:v>
      </x:c>
      <x:c r="R23" s="31" t="n">
        <x:v>12.966179480522506</x:v>
      </x:c>
      <x:c r="S23" s="31" t="str">
        <x:v>Red</x:v>
      </x:c>
    </x:row>
    <x:row r="24">
      <x:c r="A24" s="31" t="str">
        <x:v>Mahindra</x:v>
      </x:c>
      <x:c r="B24" s="31" t="str">
        <x:v>3-5 years</x:v>
      </x:c>
      <x:c r="C24" s="31" t="str">
        <x:v>Diesel</x:v>
      </x:c>
      <x:c r="D24" s="31" t="n">
        <x:v>344</x:v>
      </x:c>
      <x:c r="E24" s="31" t="n">
        <x:v>985531.976744186</x:v>
      </x:c>
      <x:c r="F24" s="31" t="n">
        <x:v>344008.87187800097</x:v>
      </x:c>
      <x:c r="G24" s="31" t="n">
        <x:v>975000</x:v>
      </x:c>
      <x:c r="H24" s="31" t="n">
        <x:v>717250</x:v>
      </x:c>
      <x:c r="I24" s="31" t="n">
        <x:v>1236250</x:v>
      </x:c>
      <x:c r="J24" s="31" t="n">
        <x:v>519000</x:v>
      </x:c>
      <x:c r="K24" s="31" t="n">
        <x:v>0.3490590665708</x:v>
      </x:c>
      <x:c r="L24" s="31" t="str">
        <x:v>Standard</x:v>
      </x:c>
      <x:c r="M24" s="31" t="n">
        <x:v>0.9049773755656108</x:v>
      </x:c>
      <x:c r="N24" s="31" t="n">
        <x:v>92.38508888097292</x:v>
      </x:c>
      <x:c r="O24" s="31" t="n">
        <x:v>55.46845837999256</x:v>
      </x:c>
      <x:c r="P24" s="31" t="n">
        <x:v>75.07713692355054</x:v>
      </x:c>
      <x:c r="Q24" s="31" t="n">
        <x:v>48.26096419363836</x:v>
      </x:c>
      <x:c r="R24" s="31" t="n">
        <x:v>71.22989063609415</x:v>
      </x:c>
      <x:c r="S24" s="31" t="str">
        <x:v>Green</x:v>
      </x:c>
    </x:row>
    <x:row r="25">
      <x:c r="A25" s="31" t="str">
        <x:v>Mahindra</x:v>
      </x:c>
      <x:c r="B25" s="31" t="str">
        <x:v>3-5 years</x:v>
      </x:c>
      <x:c r="C25" s="31" t="str">
        <x:v>Petrol</x:v>
      </x:c>
      <x:c r="D25" s="31" t="n">
        <x:v>40</x:v>
      </x:c>
      <x:c r="E25" s="31" t="n">
        <x:v>426450</x:v>
      </x:c>
      <x:c r="F25" s="31" t="n">
        <x:v>78793.77497213201</x:v>
      </x:c>
      <x:c r="G25" s="31" t="n">
        <x:v>405000</x:v>
      </x:c>
      <x:c r="H25" s="31" t="n">
        <x:v>388750</x:v>
      </x:c>
      <x:c r="I25" s="31" t="n">
        <x:v>471250</x:v>
      </x:c>
      <x:c r="J25" s="31" t="n">
        <x:v>82500</x:v>
      </x:c>
      <x:c r="K25" s="31" t="n">
        <x:v>0.1847667369495416</x:v>
      </x:c>
      <x:c r="L25" s="31" t="str">
        <x:v>Standard</x:v>
      </x:c>
      <x:c r="M25" s="31" t="n">
        <x:v>0.9049773755656108</x:v>
      </x:c>
      <x:c r="N25" s="31" t="n">
        <x:v>92.38508888097292</x:v>
      </x:c>
      <x:c r="O25" s="31" t="n">
        <x:v>12.91526689063084</x:v>
      </x:c>
      <x:c r="P25" s="31" t="n">
        <x:v>0</x:v>
      </x:c>
      <x:c r="Q25" s="31" t="n">
        <x:v>100</x:v>
      </x:c>
      <x:c r="R25" s="31" t="n">
        <x:v>51.20936117552977</x:v>
      </x:c>
      <x:c r="S25" s="31" t="str">
        <x:v>Yellow</x:v>
      </x:c>
    </x:row>
    <x:row r="26">
      <x:c r="A26" s="31" t="str">
        <x:v>Mahindra</x:v>
      </x:c>
      <x:c r="B26" s="31" t="str">
        <x:v>6-8 years</x:v>
      </x:c>
      <x:c r="C26" s="31" t="str">
        <x:v>Diesel</x:v>
      </x:c>
      <x:c r="D26" s="31" t="n">
        <x:v>333</x:v>
      </x:c>
      <x:c r="E26" s="31" t="n">
        <x:v>733513.5135135135</x:v>
      </x:c>
      <x:c r="F26" s="31" t="n">
        <x:v>206229.32309052732</x:v>
      </x:c>
      <x:c r="G26" s="31" t="n">
        <x:v>700000</x:v>
      </x:c>
      <x:c r="H26" s="31" t="n">
        <x:v>560000</x:v>
      </x:c>
      <x:c r="I26" s="31" t="n">
        <x:v>851000</x:v>
      </x:c>
      <x:c r="J26" s="31" t="n">
        <x:v>291000</x:v>
      </x:c>
      <x:c r="K26" s="31" t="n">
        <x:v>0.2811527249207631</x:v>
      </x:c>
      <x:c r="L26" s="31" t="str">
        <x:v>Standard</x:v>
      </x:c>
      <x:c r="M26" s="31" t="n">
        <x:v>0.7777777777777778</x:v>
      </x:c>
      <x:c r="N26" s="31" t="n">
        <x:v>62.60232539322261</x:v>
      </x:c>
      <x:c r="O26" s="31" t="n">
        <x:v>34.938409854423305</x:v>
      </x:c>
      <x:c r="P26" s="31" t="n">
        <x:v>73.92586550926761</x:v>
      </x:c>
      <x:c r="Q26" s="31" t="n">
        <x:v>72.67328462758222</x:v>
      </x:c>
      <x:c r="R26" s="31" t="n">
        <x:v>58.07850263994577</x:v>
      </x:c>
      <x:c r="S26" s="31" t="str">
        <x:v>Yellow</x:v>
      </x:c>
    </x:row>
    <x:row r="27">
      <x:c r="A27" s="31" t="str">
        <x:v>Mahindra</x:v>
      </x:c>
      <x:c r="B27" s="31" t="str">
        <x:v>9-12 years</x:v>
      </x:c>
      <x:c r="C27" s="31" t="str">
        <x:v>Diesel</x:v>
      </x:c>
      <x:c r="D27" s="31" t="n">
        <x:v>149</x:v>
      </x:c>
      <x:c r="E27" s="31" t="n">
        <x:v>492409.3959731544</x:v>
      </x:c>
      <x:c r="F27" s="31" t="n">
        <x:v>144768.26839035135</x:v>
      </x:c>
      <x:c r="G27" s="31" t="n">
        <x:v>475000</x:v>
      </x:c>
      <x:c r="H27" s="31" t="n">
        <x:v>400000</x:v>
      </x:c>
      <x:c r="I27" s="31" t="n">
        <x:v>585000</x:v>
      </x:c>
      <x:c r="J27" s="31" t="n">
        <x:v>185000</x:v>
      </x:c>
      <x:c r="K27" s="31" t="n">
        <x:v>0.2939998090496307</x:v>
      </x:c>
      <x:c r="L27" s="31" t="str">
        <x:v>Standard</x:v>
      </x:c>
      <x:c r="M27" s="31" t="n">
        <x:v>0.6785714285714286</x:v>
      </x:c>
      <x:c r="N27" s="31" t="n">
        <x:v>39.37395607224287</x:v>
      </x:c>
      <x:c r="O27" s="31" t="n">
        <x:v>18.141097424412106</x:v>
      </x:c>
      <x:c r="P27" s="31" t="n">
        <x:v>45.48444751168055</x:v>
      </x:c>
      <x:c r="Q27" s="31" t="n">
        <x:v>68.05475965958937</x:v>
      </x:c>
      <x:c r="R27" s="31" t="n">
        <x:v>38.52831730388314</x:v>
      </x:c>
      <x:c r="S27" s="31" t="str">
        <x:v>Red</x:v>
      </x:c>
    </x:row>
    <x:row r="28">
      <x:c r="A28" s="31" t="str">
        <x:v>Maruti</x:v>
      </x:c>
      <x:c r="B28" s="31" t="str">
        <x:v>3-5 years</x:v>
      </x:c>
      <x:c r="C28" s="31" t="str">
        <x:v>CNG</x:v>
      </x:c>
      <x:c r="D28" s="31" t="n">
        <x:v>138</x:v>
      </x:c>
      <x:c r="E28" s="31" t="n">
        <x:v>461608.6956521739</x:v>
      </x:c>
      <x:c r="F28" s="31" t="n">
        <x:v>180886.076773612</x:v>
      </x:c>
      <x:c r="G28" s="31" t="n">
        <x:v>395000</x:v>
      </x:c>
      <x:c r="H28" s="31" t="n">
        <x:v>345000</x:v>
      </x:c>
      <x:c r="I28" s="31" t="n">
        <x:v>475000</x:v>
      </x:c>
      <x:c r="J28" s="31" t="n">
        <x:v>130000</x:v>
      </x:c>
      <x:c r="K28" s="31" t="n">
        <x:v>0.3918602021091716</x:v>
      </x:c>
      <x:c r="L28" s="31" t="str">
        <x:v>High</x:v>
      </x:c>
      <x:c r="M28" s="31" t="n">
        <x:v>0.9375</x:v>
      </x:c>
      <x:c r="N28" s="31" t="n">
        <x:v>100</x:v>
      </x:c>
      <x:c r="O28" s="31" t="n">
        <x:v>12.16871967151923</x:v>
      </x:c>
      <x:c r="P28" s="31" t="n">
        <x:v>42.77848663530429</x:v>
      </x:c>
      <x:c r="Q28" s="31" t="n">
        <x:v>32.87396188560248</x:v>
      </x:c>
      <x:c r="R28" s="31" t="n">
        <x:v>52.13740751135699</x:v>
      </x:c>
      <x:c r="S28" s="31" t="str">
        <x:v>Yellow</x:v>
      </x:c>
    </x:row>
    <x:row r="29">
      <x:c r="A29" s="31" t="str">
        <x:v>Maruti</x:v>
      </x:c>
      <x:c r="B29" s="31" t="str">
        <x:v>3-5 years</x:v>
      </x:c>
      <x:c r="C29" s="31" t="str">
        <x:v>Diesel</x:v>
      </x:c>
      <x:c r="D29" s="31" t="n">
        <x:v>842</x:v>
      </x:c>
      <x:c r="E29" s="31" t="n">
        <x:v>721534.4418052257</x:v>
      </x:c>
      <x:c r="F29" s="31" t="n">
        <x:v>132720.86118274232</x:v>
      </x:c>
      <x:c r="G29" s="31" t="n">
        <x:v>720000</x:v>
      </x:c>
      <x:c r="H29" s="31" t="n">
        <x:v>641250</x:v>
      </x:c>
      <x:c r="I29" s="31" t="n">
        <x:v>809750</x:v>
      </x:c>
      <x:c r="J29" s="31" t="n">
        <x:v>168500</x:v>
      </x:c>
      <x:c r="K29" s="31" t="n">
        <x:v>0.1839425167988995</x:v>
      </x:c>
      <x:c r="L29" s="31" t="str">
        <x:v>Standard</x:v>
      </x:c>
      <x:c r="M29" s="31" t="n">
        <x:v>0.9375</x:v>
      </x:c>
      <x:c r="N29" s="31" t="n">
        <x:v>100</x:v>
      </x:c>
      <x:c r="O29" s="31" t="n">
        <x:v>36.43150429264653</x:v>
      </x:c>
      <x:c r="P29" s="31" t="n">
        <x:v>100</x:v>
      </x:c>
      <x:c r="Q29" s="31" t="n">
        <x:v>100</x:v>
      </x:c>
      <x:c r="R29" s="31" t="n">
        <x:v>80.92945128779397</x:v>
      </x:c>
      <x:c r="S29" s="31" t="str">
        <x:v>Green</x:v>
      </x:c>
    </x:row>
    <x:row r="30">
      <x:c r="A30" s="31" t="str">
        <x:v>Maruti</x:v>
      </x:c>
      <x:c r="B30" s="31" t="str">
        <x:v>3-5 years</x:v>
      </x:c>
      <x:c r="C30" s="31" t="str">
        <x:v>Petrol</x:v>
      </x:c>
      <x:c r="D30" s="31" t="n">
        <x:v>1233</x:v>
      </x:c>
      <x:c r="E30" s="31" t="n">
        <x:v>520522.30332522304</x:v>
      </x:c>
      <x:c r="F30" s="31" t="n">
        <x:v>160861.27169413416</x:v>
      </x:c>
      <x:c r="G30" s="31" t="n">
        <x:v>509000</x:v>
      </x:c>
      <x:c r="H30" s="31" t="n">
        <x:v>395000</x:v>
      </x:c>
      <x:c r="I30" s="31" t="n">
        <x:v>637000</x:v>
      </x:c>
      <x:c r="J30" s="31" t="n">
        <x:v>242000</x:v>
      </x:c>
      <x:c r="K30" s="31" t="n">
        <x:v>0.3090381923435619</x:v>
      </x:c>
      <x:c r="L30" s="31" t="str">
        <x:v>Standard</x:v>
      </x:c>
      <x:c r="M30" s="31" t="n">
        <x:v>0.9375</x:v>
      </x:c>
      <x:c r="N30" s="31" t="n">
        <x:v>100</x:v>
      </x:c>
      <x:c r="O30" s="31" t="n">
        <x:v>20.67935796939157</x:v>
      </x:c>
      <x:c r="P30" s="31" t="n">
        <x:v>100</x:v>
      </x:c>
      <x:c r="Q30" s="31" t="n">
        <x:v>62.648462944741695</x:v>
      </x:c>
      <x:c r="R30" s="31" t="n">
        <x:v>70.60107683252873</x:v>
      </x:c>
      <x:c r="S30" s="31" t="str">
        <x:v>Green</x:v>
      </x:c>
    </x:row>
    <x:row r="31">
      <x:c r="A31" s="31" t="str">
        <x:v>Maruti</x:v>
      </x:c>
      <x:c r="B31" s="31" t="str">
        <x:v>6-8 years</x:v>
      </x:c>
      <x:c r="C31" s="31" t="str">
        <x:v>CNG</x:v>
      </x:c>
      <x:c r="D31" s="31" t="n">
        <x:v>98</x:v>
      </x:c>
      <x:c r="E31" s="31" t="n">
        <x:v>385316.32653061225</x:v>
      </x:c>
      <x:c r="F31" s="31" t="n">
        <x:v>147995.58344892296</x:v>
      </x:c>
      <x:c r="G31" s="31" t="n">
        <x:v>340000</x:v>
      </x:c>
      <x:c r="H31" s="31" t="n">
        <x:v>275000</x:v>
      </x:c>
      <x:c r="I31" s="31" t="n">
        <x:v>419000</x:v>
      </x:c>
      <x:c r="J31" s="31" t="n">
        <x:v>144000</x:v>
      </x:c>
      <x:c r="K31" s="31" t="n">
        <x:v>0.3840885352081367</x:v>
      </x:c>
      <x:c r="L31" s="31" t="str">
        <x:v>High</x:v>
      </x:c>
      <x:c r="M31" s="31" t="n">
        <x:v>0.7083333333333334</x:v>
      </x:c>
      <x:c r="N31" s="31" t="n">
        <x:v>46.3424668685368</x:v>
      </x:c>
      <x:c r="O31" s="31" t="n">
        <x:v>8.062709966405379</x:v>
      </x:c>
      <x:c r="P31" s="31" t="n">
        <x:v>30.721469006100065</x:v>
      </x:c>
      <x:c r="Q31" s="31" t="n">
        <x:v>35.667875061955115</x:v>
      </x:c>
      <x:c r="R31" s="31" t="n">
        <x:v>30.13315145442277</x:v>
      </x:c>
      <x:c r="S31" s="31" t="str">
        <x:v>Red</x:v>
      </x:c>
    </x:row>
    <x:row r="32">
      <x:c r="A32" s="31" t="str">
        <x:v>Maruti</x:v>
      </x:c>
      <x:c r="B32" s="31" t="str">
        <x:v>6-8 years</x:v>
      </x:c>
      <x:c r="C32" s="31" t="str">
        <x:v>Diesel</x:v>
      </x:c>
      <x:c r="D32" s="31" t="n">
        <x:v>525</x:v>
      </x:c>
      <x:c r="E32" s="31" t="n">
        <x:v>509011.4285714286</x:v>
      </x:c>
      <x:c r="F32" s="31" t="n">
        <x:v>109307.43054776872</x:v>
      </x:c>
      <x:c r="G32" s="31" t="n">
        <x:v>500000</x:v>
      </x:c>
      <x:c r="H32" s="31" t="n">
        <x:v>427000</x:v>
      </x:c>
      <x:c r="I32" s="31" t="n">
        <x:v>575000</x:v>
      </x:c>
      <x:c r="J32" s="31" t="n">
        <x:v>148000</x:v>
      </x:c>
      <x:c r="K32" s="31" t="n">
        <x:v>0.2147445507354258</x:v>
      </x:c>
      <x:c r="L32" s="31" t="str">
        <x:v>Standard</x:v>
      </x:c>
      <x:c r="M32" s="31" t="n">
        <x:v>0.7083333333333334</x:v>
      </x:c>
      <x:c r="N32" s="31" t="n">
        <x:v>46.3424668685368</x:v>
      </x:c>
      <x:c r="O32" s="31" t="n">
        <x:v>20.00746547219113</x:v>
      </x:c>
      <x:c r="P32" s="31" t="n">
        <x:v>90.06186637242699</x:v>
      </x:c>
      <x:c r="Q32" s="31" t="n">
        <x:v>96.54701406511457</x:v>
      </x:c>
      <x:c r="R32" s="31" t="n">
        <x:v>54.71652842989779</x:v>
      </x:c>
      <x:c r="S32" s="31" t="str">
        <x:v>Yellow</x:v>
      </x:c>
    </x:row>
    <x:row r="33">
      <x:c r="A33" s="31" t="str">
        <x:v>Maruti</x:v>
      </x:c>
      <x:c r="B33" s="31" t="str">
        <x:v>6-8 years</x:v>
      </x:c>
      <x:c r="C33" s="31" t="str">
        <x:v>Petrol</x:v>
      </x:c>
      <x:c r="D33" s="31" t="n">
        <x:v>733</x:v>
      </x:c>
      <x:c r="E33" s="31" t="n">
        <x:v>375346.52114597545</x:v>
      </x:c>
      <x:c r="F33" s="31" t="n">
        <x:v>116151.83430112044</x:v>
      </x:c>
      <x:c r="G33" s="31" t="n">
        <x:v>361000</x:v>
      </x:c>
      <x:c r="H33" s="31" t="n">
        <x:v>285000</x:v>
      </x:c>
      <x:c r="I33" s="31" t="n">
        <x:v>450000</x:v>
      </x:c>
      <x:c r="J33" s="31" t="n">
        <x:v>165000</x:v>
      </x:c>
      <x:c r="K33" s="31" t="n">
        <x:v>0.3094522734525305</x:v>
      </x:c>
      <x:c r="L33" s="31" t="str">
        <x:v>Standard</x:v>
      </x:c>
      <x:c r="M33" s="31" t="n">
        <x:v>0.7083333333333334</x:v>
      </x:c>
      <x:c r="N33" s="31" t="n">
        <x:v>46.3424668685368</x:v>
      </x:c>
      <x:c r="O33" s="31" t="n">
        <x:v>9.630459126539758</x:v>
      </x:c>
      <x:c r="P33" s="31" t="n">
        <x:v>100</x:v>
      </x:c>
      <x:c r="Q33" s="31" t="n">
        <x:v>62.49960084332148</x:v>
      </x:c>
      <x:c r="R33" s="31" t="n">
        <x:v>48.48394126844803</x:v>
      </x:c>
      <x:c r="S33" s="31" t="str">
        <x:v>Yellow</x:v>
      </x:c>
    </x:row>
    <x:row r="34">
      <x:c r="A34" s="31" t="str">
        <x:v>Maruti</x:v>
      </x:c>
      <x:c r="B34" s="31" t="str">
        <x:v>9-12 years</x:v>
      </x:c>
      <x:c r="C34" s="31" t="str">
        <x:v>Diesel</x:v>
      </x:c>
      <x:c r="D34" s="31" t="n">
        <x:v>193</x:v>
      </x:c>
      <x:c r="E34" s="31" t="n">
        <x:v>375979.274611399</x:v>
      </x:c>
      <x:c r="F34" s="31" t="n">
        <x:v>97076.21353806366</x:v>
      </x:c>
      <x:c r="G34" s="31" t="n">
        <x:v>370000</x:v>
      </x:c>
      <x:c r="H34" s="31" t="n">
        <x:v>300000</x:v>
      </x:c>
      <x:c r="I34" s="31" t="n">
        <x:v>435000</x:v>
      </x:c>
      <x:c r="J34" s="31" t="n">
        <x:v>135000</x:v>
      </x:c>
      <x:c r="K34" s="31" t="n">
        <x:v>0.2581956509129359</x:v>
      </x:c>
      <x:c r="L34" s="31" t="str">
        <x:v>Standard</x:v>
      </x:c>
      <x:c r="M34" s="31" t="n">
        <x:v>0.5905882352941176</x:v>
      </x:c>
      <x:c r="N34" s="31" t="n">
        <x:v>18.77339850879889</x:v>
      </x:c>
      <x:c r="O34" s="31" t="n">
        <x:v>10.302351623740206</x:v>
      </x:c>
      <x:c r="P34" s="31" t="n">
        <x:v>54.62339934087672</x:v>
      </x:c>
      <x:c r="Q34" s="31" t="n">
        <x:v>80.92634955917742</x:v>
      </x:c>
      <x:c r="R34" s="31" t="n">
        <x:v>32.72502726725363</x:v>
      </x:c>
      <x:c r="S34" s="31" t="str">
        <x:v>Red</x:v>
      </x:c>
    </x:row>
    <x:row r="35">
      <x:c r="A35" s="31" t="str">
        <x:v>Maruti</x:v>
      </x:c>
      <x:c r="B35" s="31" t="str">
        <x:v>9-12 years</x:v>
      </x:c>
      <x:c r="C35" s="31" t="str">
        <x:v>Petrol</x:v>
      </x:c>
      <x:c r="D35" s="31" t="n">
        <x:v>468</x:v>
      </x:c>
      <x:c r="E35" s="31" t="n">
        <x:v>239856.8376068376</x:v>
      </x:c>
      <x:c r="F35" s="31" t="n">
        <x:v>76783.70589272343</x:v>
      </x:c>
      <x:c r="G35" s="31" t="n">
        <x:v>235000</x:v>
      </x:c>
      <x:c r="H35" s="31" t="n">
        <x:v>180000</x:v>
      </x:c>
      <x:c r="I35" s="31" t="n">
        <x:v>280000</x:v>
      </x:c>
      <x:c r="J35" s="31" t="n">
        <x:v>100000</x:v>
      </x:c>
      <x:c r="K35" s="31" t="n">
        <x:v>0.3201230644864241</x:v>
      </x:c>
      <x:c r="L35" s="31" t="str">
        <x:v>Standard</x:v>
      </x:c>
      <x:c r="M35" s="31" t="n">
        <x:v>0.5905882352941176</x:v>
      </x:c>
      <x:c r="N35" s="31" t="n">
        <x:v>18.77339850879889</x:v>
      </x:c>
      <x:c r="O35" s="31" t="n">
        <x:v>0.2239641657334827</x:v>
      </x:c>
      <x:c r="P35" s="31" t="n">
        <x:v>85.98670937813213</x:v>
      </x:c>
      <x:c r="Q35" s="31" t="n">
        <x:v>58.66345294206099</x:v>
      </x:c>
      <x:c r="R35" s="31" t="n">
        <x:v>32.634738544735235</x:v>
      </x:c>
      <x:c r="S35" s="31" t="str">
        <x:v>Red</x:v>
      </x:c>
    </x:row>
    <x:row r="36">
      <x:c r="A36" s="31" t="str">
        <x:v>Maruti</x:v>
      </x:c>
      <x:c r="B36" s="31" t="str">
        <x:v>13+ years</x:v>
      </x:c>
      <x:c r="C36" s="31" t="str">
        <x:v>Petrol</x:v>
      </x:c>
      <x:c r="D36" s="31" t="n">
        <x:v>189</x:v>
      </x:c>
      <x:c r="E36" s="31" t="n">
        <x:v>124539.02116402116</x:v>
      </x:c>
      <x:c r="F36" s="31" t="n">
        <x:v>44671.57652433775</x:v>
      </x:c>
      <x:c r="G36" s="31" t="n">
        <x:v>120000</x:v>
      </x:c>
      <x:c r="H36" s="31" t="n">
        <x:v>90000</x:v>
      </x:c>
      <x:c r="I36" s="31" t="n">
        <x:v>150000</x:v>
      </x:c>
      <x:c r="J36" s="31" t="n">
        <x:v>60000</x:v>
      </x:c>
      <x:c r="K36" s="31" t="n">
        <x:v>0.3586954201727995</x:v>
      </x:c>
      <x:c r="L36" s="31" t="str">
        <x:v>Standard</x:v>
      </x:c>
      <x:c r="M36" s="31" t="n">
        <x:v>0.49800796812749</x:v>
      </x:c>
      <x:c r="N36" s="31" t="n">
        <x:v>0</x:v>
      </x:c>
      <x:c r="O36" s="31" t="n">
        <x:v>0</x:v>
      </x:c>
      <x:c r="P36" s="31" t="n">
        <x:v>53.88317853416604</x:v>
      </x:c>
      <x:c r="Q36" s="31" t="n">
        <x:v>44.79669640611468</x:v>
      </x:c>
      <x:c r="R36" s="31" t="n">
        <x:v>17.496140167750408</x:v>
      </x:c>
      <x:c r="S36" s="31" t="str">
        <x:v>Red</x:v>
      </x:c>
    </x:row>
    <x:row r="37">
      <x:c r="A37" s="31" t="str">
        <x:v>Mercedes-Benz</x:v>
      </x:c>
      <x:c r="B37" s="31" t="str">
        <x:v>6-8 years</x:v>
      </x:c>
      <x:c r="C37" s="31" t="str">
        <x:v>Diesel</x:v>
      </x:c>
      <x:c r="D37" s="31" t="n">
        <x:v>95</x:v>
      </x:c>
      <x:c r="E37" s="31" t="n">
        <x:v>2341589.4736842103</x:v>
      </x:c>
      <x:c r="F37" s="31" t="n">
        <x:v>1173068.9019934798</x:v>
      </x:c>
      <x:c r="G37" s="31" t="n">
        <x:v>2050000</x:v>
      </x:c>
      <x:c r="H37" s="31" t="n">
        <x:v>1428000</x:v>
      </x:c>
      <x:c r="I37" s="31" t="n">
        <x:v>2937500</x:v>
      </x:c>
      <x:c r="J37" s="31" t="n">
        <x:v>1509500</x:v>
      </x:c>
      <x:c r="K37" s="31" t="n">
        <x:v>0.5009712057458973</x:v>
      </x:c>
      <x:c r="L37" s="31" t="str">
        <x:v>High</x:v>
      </x:c>
      <x:c r="M37" s="31" t="n">
        <x:v>0.5157232704402516</x:v>
      </x:c>
      <x:c r="N37" s="31" t="n">
        <x:v>1.2443686962949787</x:v>
      </x:c>
      <x:c r="O37" s="31" t="n">
        <x:v>100</x:v>
      </x:c>
      <x:c r="P37" s="31" t="n">
        <x:v>29.62817309597198</x:v>
      </x:c>
      <x:c r="Q37" s="31" t="n">
        <x:v>0</x:v>
      </x:c>
      <x:c r="R37" s="31" t="n">
        <x:v>36.36116366289764</x:v>
      </x:c>
      <x:c r="S37" s="31" t="str">
        <x:v>Red</x:v>
      </x:c>
    </x:row>
    <x:row r="38">
      <x:c r="A38" s="31" t="str">
        <x:v>Mercedes-Benz</x:v>
      </x:c>
      <x:c r="B38" s="31" t="str">
        <x:v>9-12 years</x:v>
      </x:c>
      <x:c r="C38" s="31" t="str">
        <x:v>Diesel</x:v>
      </x:c>
      <x:c r="D38" s="31" t="n">
        <x:v>76</x:v>
      </x:c>
      <x:c r="E38" s="31" t="n">
        <x:v>1307052.6315789474</x:v>
      </x:c>
      <x:c r="F38" s="31" t="n">
        <x:v>515098.6415496704</x:v>
      </x:c>
      <x:c r="G38" s="31" t="n">
        <x:v>1190000</x:v>
      </x:c>
      <x:c r="H38" s="31" t="n">
        <x:v>993000</x:v>
      </x:c>
      <x:c r="I38" s="31" t="n">
        <x:v>1450000</x:v>
      </x:c>
      <x:c r="J38" s="31" t="n">
        <x:v>457000</x:v>
      </x:c>
      <x:c r="K38" s="31" t="n">
        <x:v>0.3940917367095005</x:v>
      </x:c>
      <x:c r="L38" s="31" t="str">
        <x:v>High</x:v>
      </x:c>
      <x:c r="M38" s="31" t="n">
        <x:v>0.5634146341463414</x:v>
      </x:c>
      <x:c r="N38" s="31" t="n">
        <x:v>12.410918200924115</x:v>
      </x:c>
      <x:c r="O38" s="31" t="n">
        <x:v>71.51922359089215</x:v>
      </x:c>
      <x:c r="P38" s="31" t="n">
        <x:v>21.792439876690505</x:v>
      </x:c>
      <x:c r="Q38" s="31" t="n">
        <x:v>32.071725505333106</x:v>
      </x:c>
      <x:c r="R38" s="31" t="n">
        <x:v>34.96883524872915</x:v>
      </x:c>
      <x:c r="S38" s="31" t="str">
        <x:v>Red</x:v>
      </x:c>
    </x:row>
    <x:row r="39">
      <x:c r="A39" s="31" t="str">
        <x:v>Mercedes-Benz</x:v>
      </x:c>
      <x:c r="B39" s="31" t="str">
        <x:v>9-12 years</x:v>
      </x:c>
      <x:c r="C39" s="31" t="str">
        <x:v>Petrol</x:v>
      </x:c>
      <x:c r="D39" s="31" t="n">
        <x:v>39</x:v>
      </x:c>
      <x:c r="E39" s="31" t="n">
        <x:v>1182538.4615384615</x:v>
      </x:c>
      <x:c r="F39" s="31" t="n">
        <x:v>404040.6341051568</x:v>
      </x:c>
      <x:c r="G39" s="31" t="n">
        <x:v>1070000</x:v>
      </x:c>
      <x:c r="H39" s="31" t="n">
        <x:v>899500</x:v>
      </x:c>
      <x:c r="I39" s="31" t="n">
        <x:v>1349500</x:v>
      </x:c>
      <x:c r="J39" s="31" t="n">
        <x:v>450000</x:v>
      </x:c>
      <x:c r="K39" s="31" t="n">
        <x:v>0.3416722984041526</x:v>
      </x:c>
      <x:c r="L39" s="31" t="str">
        <x:v>Standard</x:v>
      </x:c>
      <x:c r="M39" s="31" t="n">
        <x:v>0.5634146341463414</x:v>
      </x:c>
      <x:c r="N39" s="31" t="n">
        <x:v>12.410918200924115</x:v>
      </x:c>
      <x:c r="O39" s="31" t="n">
        <x:v>62.56065696155285</x:v>
      </x:c>
      <x:c r="P39" s="31" t="n">
        <x:v>0</x:v>
      </x:c>
      <x:c r="Q39" s="31" t="n">
        <x:v>50.91650632819768</x:v>
      </x:c>
      <x:c r="R39" s="31" t="n">
        <x:v>30.749494408018947</x:v>
      </x:c>
      <x:c r="S39" s="31" t="str">
        <x:v>Red</x:v>
      </x:c>
    </x:row>
    <x:row r="40">
      <x:c r="A40" s="31" t="str">
        <x:v>Renault</x:v>
      </x:c>
      <x:c r="B40" s="31" t="str">
        <x:v>3-5 years</x:v>
      </x:c>
      <x:c r="C40" s="31" t="str">
        <x:v>Diesel</x:v>
      </x:c>
      <x:c r="D40" s="31" t="n">
        <x:v>54</x:v>
      </x:c>
      <x:c r="E40" s="31" t="n">
        <x:v>732259.2592592592</x:v>
      </x:c>
      <x:c r="F40" s="31" t="n">
        <x:v>145451.04670685672</x:v>
      </x:c>
      <x:c r="G40" s="31" t="n">
        <x:v>700000</x:v>
      </x:c>
      <x:c r="H40" s="31" t="n">
        <x:v>600000</x:v>
      </x:c>
      <x:c r="I40" s="31" t="n">
        <x:v>850000</x:v>
      </x:c>
      <x:c r="J40" s="31" t="n">
        <x:v>250000</x:v>
      </x:c>
      <x:c r="K40" s="31" t="n">
        <x:v>0.1986332639262117</x:v>
      </x:c>
      <x:c r="L40" s="31" t="str">
        <x:v>Standard</x:v>
      </x:c>
      <x:c r="M40" s="31" t="n">
        <x:v>0.8158508158508159</x:v>
      </x:c>
      <x:c r="N40" s="31" t="n">
        <x:v>71.51682125570771</x:v>
      </x:c>
      <x:c r="O40" s="31" t="n">
        <x:v>34.938409854423305</x:v>
      </x:c>
      <x:c r="P40" s="31" t="n">
        <x:v>9.837812271027238</x:v>
      </x:c>
      <x:c r="Q40" s="31" t="n">
        <x:v>100</x:v>
      </x:c>
      <x:c r="R40" s="31" t="n">
        <x:v>52.47997285003014</x:v>
      </x:c>
      <x:c r="S40" s="31" t="str">
        <x:v>Yellow</x:v>
      </x:c>
    </x:row>
    <x:row r="41">
      <x:c r="A41" s="31" t="str">
        <x:v>Renault</x:v>
      </x:c>
      <x:c r="B41" s="31" t="str">
        <x:v>3-5 years</x:v>
      </x:c>
      <x:c r="C41" s="31" t="str">
        <x:v>Petrol</x:v>
      </x:c>
      <x:c r="D41" s="31" t="n">
        <x:v>244</x:v>
      </x:c>
      <x:c r="E41" s="31" t="n">
        <x:v>344381.1475409836</x:v>
      </x:c>
      <x:c r="F41" s="31" t="n">
        <x:v>93010.54308304867</x:v>
      </x:c>
      <x:c r="G41" s="31" t="n">
        <x:v>340500</x:v>
      </x:c>
      <x:c r="H41" s="31" t="n">
        <x:v>299000</x:v>
      </x:c>
      <x:c r="I41" s="31" t="n">
        <x:v>375000</x:v>
      </x:c>
      <x:c r="J41" s="31" t="n">
        <x:v>76000</x:v>
      </x:c>
      <x:c r="K41" s="31" t="n">
        <x:v>0.2700802403011327</x:v>
      </x:c>
      <x:c r="L41" s="31" t="str">
        <x:v>Standard</x:v>
      </x:c>
      <x:c r="M41" s="31" t="n">
        <x:v>0.8158508158508159</x:v>
      </x:c>
      <x:c r="N41" s="31" t="n">
        <x:v>71.51682125570771</x:v>
      </x:c>
      <x:c r="O41" s="31" t="n">
        <x:v>8.10003732736096</x:v>
      </x:c>
      <x:c r="P41" s="31" t="n">
        <x:v>62.91594295939783</x:v>
      </x:c>
      <x:c r="Q41" s="31" t="n">
        <x:v>76.6538413173739</x:v>
      </x:c>
      <x:c r="R41" s="31" t="n">
        <x:v>51.54216342719164</x:v>
      </x:c>
      <x:c r="S41" s="31" t="str">
        <x:v>Yellow</x:v>
      </x:c>
    </x:row>
    <x:row r="42">
      <x:c r="A42" s="31" t="str">
        <x:v>Renault</x:v>
      </x:c>
      <x:c r="B42" s="31" t="str">
        <x:v>6-8 years</x:v>
      </x:c>
      <x:c r="C42" s="31" t="str">
        <x:v>Diesel</x:v>
      </x:c>
      <x:c r="D42" s="31" t="n">
        <x:v>139</x:v>
      </x:c>
      <x:c r="E42" s="31" t="n">
        <x:v>497280.5755395683</x:v>
      </x:c>
      <x:c r="F42" s="31" t="n">
        <x:v>103398.55553450868</x:v>
      </x:c>
      <x:c r="G42" s="31" t="n">
        <x:v>495000</x:v>
      </x:c>
      <x:c r="H42" s="31" t="n">
        <x:v>422500</x:v>
      </x:c>
      <x:c r="I42" s="31" t="n">
        <x:v>550000</x:v>
      </x:c>
      <x:c r="J42" s="31" t="n">
        <x:v>127500</x:v>
      </x:c>
      <x:c r="K42" s="31" t="n">
        <x:v>0.207928000047694</x:v>
      </x:c>
      <x:c r="L42" s="31" t="str">
        <x:v>Standard</x:v>
      </x:c>
      <x:c r="M42" s="31" t="n">
        <x:v>1.3571428571428572</x:v>
      </x:c>
      <x:c r="N42" s="31" t="n">
        <x:v>100</x:v>
      </x:c>
      <x:c r="O42" s="31" t="n">
        <x:v>19.634191862635323</x:v>
      </x:c>
      <x:c r="P42" s="31" t="n">
        <x:v>43.03317814588025</x:v>
      </x:c>
      <x:c r="Q42" s="31" t="n">
        <x:v>98.9975630948463</x:v>
      </x:c>
      <x:c r="R42" s="31" t="n">
        <x:v>64.3465276521936</x:v>
      </x:c>
      <x:c r="S42" s="31" t="str">
        <x:v>Yellow</x:v>
      </x:c>
    </x:row>
    <x:row r="43">
      <x:c r="A43" s="31" t="str">
        <x:v>Skoda</x:v>
      </x:c>
      <x:c r="B43" s="31" t="str">
        <x:v>6-8 years</x:v>
      </x:c>
      <x:c r="C43" s="31" t="str">
        <x:v>Diesel</x:v>
      </x:c>
      <x:c r="D43" s="31" t="n">
        <x:v>94</x:v>
      </x:c>
      <x:c r="E43" s="31" t="n">
        <x:v>669925.5319148937</x:v>
      </x:c>
      <x:c r="F43" s="31" t="n">
        <x:v>308531.7724480399</x:v>
      </x:c>
      <x:c r="G43" s="31" t="n">
        <x:v>542500</x:v>
      </x:c>
      <x:c r="H43" s="31" t="n">
        <x:v>474250</x:v>
      </x:c>
      <x:c r="I43" s="31" t="n">
        <x:v>956250</x:v>
      </x:c>
      <x:c r="J43" s="31" t="n">
        <x:v>482000</x:v>
      </x:c>
      <x:c r="K43" s="31" t="n">
        <x:v>0.46054637082743</x:v>
      </x:c>
      <x:c r="L43" s="31" t="str">
        <x:v>High</x:v>
      </x:c>
      <x:c r="M43" s="31" t="n">
        <x:v>0.5631578947368421</x:v>
      </x:c>
      <x:c r="N43" s="31" t="n">
        <x:v>12.350804731667262</x:v>
      </x:c>
      <x:c r="O43" s="31" t="n">
        <x:v>23.180291153415467</x:v>
      </x:c>
      <x:c r="P43" s="31" t="n">
        <x:v>29.25613499940335</x:v>
      </x:c>
      <x:c r="Q43" s="31" t="n">
        <x:v>8.181293728457803</x:v>
      </x:c>
      <x:c r="R43" s="31" t="n">
        <x:v>18.35529006125752</x:v>
      </x:c>
      <x:c r="S43" s="31" t="str">
        <x:v>Red</x:v>
      </x:c>
    </x:row>
    <x:row r="44">
      <x:c r="A44" s="31" t="str">
        <x:v>Skoda</x:v>
      </x:c>
      <x:c r="B44" s="31" t="str">
        <x:v>6-8 years</x:v>
      </x:c>
      <x:c r="C44" s="31" t="str">
        <x:v>Petrol</x:v>
      </x:c>
      <x:c r="D44" s="31" t="n">
        <x:v>51</x:v>
      </x:c>
      <x:c r="E44" s="31" t="n">
        <x:v>649509.8039215687</x:v>
      </x:c>
      <x:c r="F44" s="31" t="n">
        <x:v>269544.5323169454</x:v>
      </x:c>
      <x:c r="G44" s="31" t="n">
        <x:v>525000</x:v>
      </x:c>
      <x:c r="H44" s="31" t="n">
        <x:v>450000</x:v>
      </x:c>
      <x:c r="I44" s="31" t="n">
        <x:v>892500</x:v>
      </x:c>
      <x:c r="J44" s="31" t="n">
        <x:v>442500</x:v>
      </x:c>
      <x:c r="K44" s="31" t="n">
        <x:v>0.4149968648502404</x:v>
      </x:c>
      <x:c r="L44" s="31" t="str">
        <x:v>High</x:v>
      </x:c>
      <x:c r="M44" s="31" t="n">
        <x:v>0.5631578947368421</x:v>
      </x:c>
      <x:c r="N44" s="31" t="n">
        <x:v>12.350804731667262</x:v>
      </x:c>
      <x:c r="O44" s="31" t="n">
        <x:v>21.873833519970148</x:v>
      </x:c>
      <x:c r="P44" s="31" t="n">
        <x:v>7.844992021883325</x:v>
      </x:c>
      <x:c r="Q44" s="31" t="n">
        <x:v>24.556334829238253</x:v>
      </x:c>
      <x:c r="R44" s="31" t="n">
        <x:v>16.137380340836987</x:v>
      </x:c>
      <x:c r="S44" s="31" t="str">
        <x:v>Red</x:v>
      </x:c>
    </x:row>
    <x:row r="45">
      <x:c r="A45" s="31" t="str">
        <x:v>Skoda</x:v>
      </x:c>
      <x:c r="B45" s="31" t="str">
        <x:v>9-12 years</x:v>
      </x:c>
      <x:c r="C45" s="31" t="str">
        <x:v>Diesel</x:v>
      </x:c>
      <x:c r="D45" s="31" t="n">
        <x:v>35</x:v>
      </x:c>
      <x:c r="E45" s="31" t="n">
        <x:v>461771.4285714286</x:v>
      </x:c>
      <x:c r="F45" s="31" t="n">
        <x:v>165474.55566167436</x:v>
      </x:c>
      <x:c r="G45" s="31" t="n">
        <x:v>450000</x:v>
      </x:c>
      <x:c r="H45" s="31" t="n">
        <x:v>350500</x:v>
      </x:c>
      <x:c r="I45" s="31" t="n">
        <x:v>512500</x:v>
      </x:c>
      <x:c r="J45" s="31" t="n">
        <x:v>162000</x:v>
      </x:c>
      <x:c r="K45" s="31" t="n">
        <x:v>0.3583473238558719</x:v>
      </x:c>
      <x:c r="L45" s="31" t="str">
        <x:v>Standard</x:v>
      </x:c>
      <x:c r="M45" s="31" t="n">
        <x:v>0.822429906542056</x:v>
      </x:c>
      <x:c r="N45" s="31" t="n">
        <x:v>73.05726246330096</x:v>
      </x:c>
      <x:c r="O45" s="31" t="n">
        <x:v>16.27472937663308</x:v>
      </x:c>
      <x:c r="P45" s="31" t="n">
        <x:v>0</x:v>
      </x:c>
      <x:c r="Q45" s="31" t="n">
        <x:v>44.921836983919725</x:v>
      </x:c>
      <x:c r="R45" s="31" t="n">
        <x:v>37.19073622273322</x:v>
      </x:c>
      <x:c r="S45" s="31" t="str">
        <x:v>Red</x:v>
      </x:c>
    </x:row>
    <x:row r="46">
      <x:c r="A46" s="31" t="str">
        <x:v>Skoda</x:v>
      </x:c>
      <x:c r="B46" s="31" t="str">
        <x:v>9-12 years</x:v>
      </x:c>
      <x:c r="C46" s="31" t="str">
        <x:v>Petrol</x:v>
      </x:c>
      <x:c r="D46" s="31" t="n">
        <x:v>42</x:v>
      </x:c>
      <x:c r="E46" s="31" t="n">
        <x:v>428119.0476190476</x:v>
      </x:c>
      <x:c r="F46" s="31" t="n">
        <x:v>107644.67346738582</x:v>
      </x:c>
      <x:c r="G46" s="31" t="n">
        <x:v>399500</x:v>
      </x:c>
      <x:c r="H46" s="31" t="n">
        <x:v>353750</x:v>
      </x:c>
      <x:c r="I46" s="31" t="n">
        <x:v>499000</x:v>
      </x:c>
      <x:c r="J46" s="31" t="n">
        <x:v>145250</x:v>
      </x:c>
      <x:c r="K46" s="31" t="n">
        <x:v>0.2514363097508594</x:v>
      </x:c>
      <x:c r="L46" s="31" t="str">
        <x:v>Standard</x:v>
      </x:c>
      <x:c r="M46" s="31" t="n">
        <x:v>0.822429906542056</x:v>
      </x:c>
      <x:c r="N46" s="31" t="n">
        <x:v>73.05726246330096</x:v>
      </x:c>
      <x:c r="O46" s="31" t="n">
        <x:v>12.504665920119454</x:v>
      </x:c>
      <x:c r="P46" s="31" t="n">
        <x:v>1.0928732611292382</x:v>
      </x:c>
      <x:c r="Q46" s="31" t="n">
        <x:v>83.3563317723463</x:v>
      </x:c>
      <x:c r="R46" s="31" t="n">
        <x:v>42.04346605626896</x:v>
      </x:c>
      <x:c r="S46" s="31" t="str">
        <x:v>Yellow</x:v>
      </x:c>
    </x:row>
    <x:row r="47">
      <x:c r="A47" s="31" t="str">
        <x:v>Tata</x:v>
      </x:c>
      <x:c r="B47" s="31" t="str">
        <x:v>3-5 years</x:v>
      </x:c>
      <x:c r="C47" s="31" t="str">
        <x:v>Diesel</x:v>
      </x:c>
      <x:c r="D47" s="31" t="n">
        <x:v>133</x:v>
      </x:c>
      <x:c r="E47" s="31" t="n">
        <x:v>857857.1428571428</x:v>
      </x:c>
      <x:c r="F47" s="31" t="n">
        <x:v>328572.67409890034</x:v>
      </x:c>
      <x:c r="G47" s="31" t="n">
        <x:v>850000</x:v>
      </x:c>
      <x:c r="H47" s="31" t="n">
        <x:v>600000</x:v>
      </x:c>
      <x:c r="I47" s="31" t="n">
        <x:v>1050000</x:v>
      </x:c>
      <x:c r="J47" s="31" t="n">
        <x:v>450000</x:v>
      </x:c>
      <x:c r="K47" s="31" t="n">
        <x:v>0.3830156067764034</x:v>
      </x:c>
      <x:c r="L47" s="31" t="str">
        <x:v>High</x:v>
      </x:c>
      <x:c r="M47" s="31" t="n">
        <x:v>0.8091872791519434</x:v>
      </x:c>
      <x:c r="N47" s="31" t="n">
        <x:v>69.95660769414057</x:v>
      </x:c>
      <x:c r="O47" s="31" t="n">
        <x:v>46.13661814109744</x:v>
      </x:c>
      <x:c r="P47" s="31" t="n">
        <x:v>41.47690102985189</x:v>
      </x:c>
      <x:c r="Q47" s="31" t="n">
        <x:v>36.05359268481203</x:v>
      </x:c>
      <x:c r="R47" s="31" t="n">
        <x:v>52.02921724397061</x:v>
      </x:c>
      <x:c r="S47" s="31" t="str">
        <x:v>Yellow</x:v>
      </x:c>
    </x:row>
    <x:row r="48">
      <x:c r="A48" s="31" t="str">
        <x:v>Tata</x:v>
      </x:c>
      <x:c r="B48" s="31" t="str">
        <x:v>3-5 years</x:v>
      </x:c>
      <x:c r="C48" s="31" t="str">
        <x:v>Petrol</x:v>
      </x:c>
      <x:c r="D48" s="31" t="n">
        <x:v>125</x:v>
      </x:c>
      <x:c r="E48" s="31" t="n">
        <x:v>502312</x:v>
      </x:c>
      <x:c r="F48" s="31" t="n">
        <x:v>134759.54786929005</x:v>
      </x:c>
      <x:c r="G48" s="31" t="n">
        <x:v>475000</x:v>
      </x:c>
      <x:c r="H48" s="31" t="n">
        <x:v>400000</x:v>
      </x:c>
      <x:c r="I48" s="31" t="n">
        <x:v>550000</x:v>
      </x:c>
      <x:c r="J48" s="31" t="n">
        <x:v>150000</x:v>
      </x:c>
      <x:c r="K48" s="31" t="n">
        <x:v>0.2682785756049826</x:v>
      </x:c>
      <x:c r="L48" s="31" t="str">
        <x:v>Standard</x:v>
      </x:c>
      <x:c r="M48" s="31" t="n">
        <x:v>0.8091872791519434</x:v>
      </x:c>
      <x:c r="N48" s="31" t="n">
        <x:v>69.95660769414057</x:v>
      </x:c>
      <x:c r="O48" s="31" t="n">
        <x:v>18.141097424412106</x:v>
      </x:c>
      <x:c r="P48" s="31" t="n">
        <x:v>39.28979134619041</x:v>
      </x:c>
      <x:c r="Q48" s="31" t="n">
        <x:v>77.30153952652806</x:v>
      </x:c>
      <x:c r="R48" s="31" t="n">
        <x:v>49.38033111849012</x:v>
      </x:c>
      <x:c r="S48" s="31" t="str">
        <x:v>Yellow</x:v>
      </x:c>
    </x:row>
    <x:row r="49">
      <x:c r="A49" s="31" t="str">
        <x:v>Toyota</x:v>
      </x:c>
      <x:c r="B49" s="31" t="str">
        <x:v>3-5 years</x:v>
      </x:c>
      <x:c r="C49" s="31" t="str">
        <x:v>Diesel</x:v>
      </x:c>
      <x:c r="D49" s="31" t="n">
        <x:v>248</x:v>
      </x:c>
      <x:c r="E49" s="31" t="n">
        <x:v>1919544.3548387096</x:v>
      </x:c>
      <x:c r="F49" s="31" t="n">
        <x:v>568895.1203374059</x:v>
      </x:c>
      <x:c r="G49" s="31" t="n">
        <x:v>1750000</x:v>
      </x:c>
      <x:c r="H49" s="31" t="n">
        <x:v>1571250</x:v>
      </x:c>
      <x:c r="I49" s="31" t="n">
        <x:v>2112500</x:v>
      </x:c>
      <x:c r="J49" s="31" t="n">
        <x:v>541250</x:v>
      </x:c>
      <x:c r="K49" s="31" t="n">
        <x:v>0.2963698749150329</x:v>
      </x:c>
      <x:c r="L49" s="31" t="str">
        <x:v>Standard</x:v>
      </x:c>
      <x:c r="M49" s="31" t="n">
        <x:v>0.9210526315789472</x:v>
      </x:c>
      <x:c r="N49" s="31" t="n">
        <x:v>96.1489808757323</x:v>
      </x:c>
      <x:c r="O49" s="31" t="n">
        <x:v>100</x:v>
      </x:c>
      <x:c r="P49" s="31" t="n">
        <x:v>63.49132903376802</x:v>
      </x:c>
      <x:c r="Q49" s="31" t="n">
        <x:v>67.2027213086805</x:v>
      </x:c>
      <x:c r="R49" s="31" t="n">
        <x:v>86.43081730956197</x:v>
      </x:c>
      <x:c r="S49" s="31" t="str">
        <x:v>Green</x:v>
      </x:c>
    </x:row>
    <x:row r="50">
      <x:c r="A50" s="31" t="str">
        <x:v>Toyota</x:v>
      </x:c>
      <x:c r="B50" s="31" t="str">
        <x:v>3-5 years</x:v>
      </x:c>
      <x:c r="C50" s="31" t="str">
        <x:v>Petrol</x:v>
      </x:c>
      <x:c r="D50" s="31" t="n">
        <x:v>43</x:v>
      </x:c>
      <x:c r="E50" s="31" t="n">
        <x:v>1592046.511627907</x:v>
      </x:c>
      <x:c r="F50" s="31" t="n">
        <x:v>521535.0489746303</x:v>
      </x:c>
      <x:c r="G50" s="31" t="n">
        <x:v>1495000</x:v>
      </x:c>
      <x:c r="H50" s="31" t="n">
        <x:v>1115000</x:v>
      </x:c>
      <x:c r="I50" s="31" t="n">
        <x:v>1985000</x:v>
      </x:c>
      <x:c r="J50" s="31" t="n">
        <x:v>870000</x:v>
      </x:c>
      <x:c r="K50" s="31" t="n">
        <x:v>0.3275878218164291</x:v>
      </x:c>
      <x:c r="L50" s="31" t="str">
        <x:v>Standard</x:v>
      </x:c>
      <x:c r="M50" s="31" t="n">
        <x:v>0.9210526315789472</x:v>
      </x:c>
      <x:c r="N50" s="31" t="n">
        <x:v>96.1489808757323</x:v>
      </x:c>
      <x:c r="O50" s="31" t="n">
        <x:v>94.28891377379624</x:v>
      </x:c>
      <x:c r="P50" s="31" t="n">
        <x:v>1.909675063172939</x:v>
      </x:c>
      <x:c r="Q50" s="31" t="n">
        <x:v>55.97987371405802</x:v>
      </x:c>
      <x:c r="R50" s="31" t="n">
        <x:v>70.71773350838846</x:v>
      </x:c>
      <x:c r="S50" s="31" t="str">
        <x:v>Green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0" t="str">
        <x:v>brand</x:v>
      </x:c>
      <x:c r="B1" s="30" t="str">
        <x:v>age_band</x:v>
      </x:c>
      <x:c r="C1" s="30" t="str">
        <x:v>fuel_type</x:v>
      </x:c>
      <x:c r="D1" s="30" t="str">
        <x:v>listings</x:v>
      </x:c>
      <x:c r="E1" s="30" t="str">
        <x:v>median_price</x:v>
      </x:c>
      <x:c r="F1" s="30" t="str">
        <x:v>mean_price</x:v>
      </x:c>
      <x:c r="G1" s="30" t="str">
        <x:v>avg_km</x:v>
      </x:c>
    </x:row>
    <x:row r="2">
      <x:c r="A2" s="31" t="str">
        <x:v>Audi</x:v>
      </x:c>
      <x:c r="B2" s="31" t="str">
        <x:v>0-2 years</x:v>
      </x:c>
      <x:c r="C2" s="31" t="str">
        <x:v>Diesel</x:v>
      </x:c>
      <x:c r="D2" s="31" t="n">
        <x:v>3</x:v>
      </x:c>
      <x:c r="E2" s="31" t="n">
        <x:v>6645000</x:v>
      </x:c>
      <x:c r="F2" s="31" t="n">
        <x:v>5881666.666666667</x:v>
      </x:c>
      <x:c r="G2" s="31" t="n">
        <x:v>9650</x:v>
      </x:c>
    </x:row>
    <x:row r="3">
      <x:c r="A3" s="31" t="str">
        <x:v>Audi</x:v>
      </x:c>
      <x:c r="B3" s="31" t="str">
        <x:v>0-2 years</x:v>
      </x:c>
      <x:c r="C3" s="31" t="str">
        <x:v>Petrol</x:v>
      </x:c>
      <x:c r="D3" s="31" t="n">
        <x:v>1</x:v>
      </x:c>
      <x:c r="E3" s="31" t="n">
        <x:v>4600000</x:v>
      </x:c>
      <x:c r="F3" s="31" t="n">
        <x:v>4600000</x:v>
      </x:c>
      <x:c r="G3" s="31" t="n">
        <x:v>3000</x:v>
      </x:c>
    </x:row>
    <x:row r="4">
      <x:c r="A4" s="31" t="str">
        <x:v>Audi</x:v>
      </x:c>
      <x:c r="B4" s="31" t="str">
        <x:v>3-5 years</x:v>
      </x:c>
      <x:c r="C4" s="31" t="str">
        <x:v>Diesel</x:v>
      </x:c>
      <x:c r="D4" s="31" t="n">
        <x:v>27</x:v>
      </x:c>
      <x:c r="E4" s="31" t="n">
        <x:v>3000000</x:v>
      </x:c>
      <x:c r="F4" s="31" t="n">
        <x:v>3016296.296296296</x:v>
      </x:c>
      <x:c r="G4" s="31" t="n">
        <x:v>38942.37037037037</x:v>
      </x:c>
    </x:row>
    <x:row r="5">
      <x:c r="A5" s="31" t="str">
        <x:v>Audi</x:v>
      </x:c>
      <x:c r="B5" s="31" t="str">
        <x:v>3-5 years</x:v>
      </x:c>
      <x:c r="C5" s="31" t="str">
        <x:v>Petrol</x:v>
      </x:c>
      <x:c r="D5" s="31" t="n">
        <x:v>10</x:v>
      </x:c>
      <x:c r="E5" s="31" t="n">
        <x:v>2800000</x:v>
      </x:c>
      <x:c r="F5" s="31" t="n">
        <x:v>2717600</x:v>
      </x:c>
      <x:c r="G5" s="31" t="n">
        <x:v>33233.3</x:v>
      </x:c>
    </x:row>
    <x:row r="6">
      <x:c r="A6" s="31" t="str">
        <x:v>Audi</x:v>
      </x:c>
      <x:c r="B6" s="31" t="str">
        <x:v>6-8 years</x:v>
      </x:c>
      <x:c r="C6" s="31" t="str">
        <x:v>Diesel</x:v>
      </x:c>
      <x:c r="D6" s="31" t="n">
        <x:v>82</x:v>
      </x:c>
      <x:c r="E6" s="31" t="n">
        <x:v>1725000</x:v>
      </x:c>
      <x:c r="F6" s="31" t="n">
        <x:v>1861121.9512195121</x:v>
      </x:c>
      <x:c r="G6" s="31" t="n">
        <x:v>58946.03658536585</x:v>
      </x:c>
    </x:row>
    <x:row r="7">
      <x:c r="A7" s="31" t="str">
        <x:v>Audi</x:v>
      </x:c>
      <x:c r="B7" s="31" t="str">
        <x:v>6-8 years</x:v>
      </x:c>
      <x:c r="C7" s="31" t="str">
        <x:v>Petrol</x:v>
      </x:c>
      <x:c r="D7" s="31" t="n">
        <x:v>3</x:v>
      </x:c>
      <x:c r="E7" s="31" t="n">
        <x:v>1450000</x:v>
      </x:c>
      <x:c r="F7" s="31" t="n">
        <x:v>1445000</x:v>
      </x:c>
      <x:c r="G7" s="31" t="n">
        <x:v>60000</x:v>
      </x:c>
    </x:row>
    <x:row r="8">
      <x:c r="A8" s="31" t="str">
        <x:v>Audi</x:v>
      </x:c>
      <x:c r="B8" s="31" t="str">
        <x:v>9-12 years</x:v>
      </x:c>
      <x:c r="C8" s="31" t="str">
        <x:v>Diesel</x:v>
      </x:c>
      <x:c r="D8" s="31" t="n">
        <x:v>56</x:v>
      </x:c>
      <x:c r="E8" s="31" t="n">
        <x:v>1299500</x:v>
      </x:c>
      <x:c r="F8" s="31" t="n">
        <x:v>1372321.4285714286</x:v>
      </x:c>
      <x:c r="G8" s="31" t="n">
        <x:v>73531.10714285714</x:v>
      </x:c>
    </x:row>
    <x:row r="9">
      <x:c r="A9" s="31" t="str">
        <x:v>Audi</x:v>
      </x:c>
      <x:c r="B9" s="31" t="str">
        <x:v>9-12 years</x:v>
      </x:c>
      <x:c r="C9" s="31" t="str">
        <x:v>Petrol</x:v>
      </x:c>
      <x:c r="D9" s="31" t="n">
        <x:v>8</x:v>
      </x:c>
      <x:c r="E9" s="31" t="n">
        <x:v>1150000</x:v>
      </x:c>
      <x:c r="F9" s="31" t="n">
        <x:v>1223125</x:v>
      </x:c>
      <x:c r="G9" s="31" t="n">
        <x:v>73375</x:v>
      </x:c>
    </x:row>
    <x:row r="10">
      <x:c r="A10" s="31" t="str">
        <x:v>BMW</x:v>
      </x:c>
      <x:c r="B10" s="31" t="str">
        <x:v>0-2 years</x:v>
      </x:c>
      <x:c r="C10" s="31" t="str">
        <x:v>Diesel</x:v>
      </x:c>
      <x:c r="D10" s="31" t="n">
        <x:v>31</x:v>
      </x:c>
      <x:c r="E10" s="31" t="n">
        <x:v>5005000</x:v>
      </x:c>
      <x:c r="F10" s="31" t="n">
        <x:v>5323870.9677419355</x:v>
      </x:c>
      <x:c r="G10" s="31" t="n">
        <x:v>11415.032258064517</x:v>
      </x:c>
    </x:row>
    <x:row r="11">
      <x:c r="A11" s="31" t="str">
        <x:v>BMW</x:v>
      </x:c>
      <x:c r="B11" s="31" t="str">
        <x:v>0-2 years</x:v>
      </x:c>
      <x:c r="C11" s="31" t="str">
        <x:v>Petrol</x:v>
      </x:c>
      <x:c r="D11" s="31" t="n">
        <x:v>5</x:v>
      </x:c>
      <x:c r="E11" s="31" t="n">
        <x:v>5700000</x:v>
      </x:c>
      <x:c r="F11" s="31" t="n">
        <x:v>6025000</x:v>
      </x:c>
      <x:c r="G11" s="31" t="n">
        <x:v>9285.2</x:v>
      </x:c>
    </x:row>
    <x:row r="12">
      <x:c r="A12" s="31" t="str">
        <x:v>BMW</x:v>
      </x:c>
      <x:c r="B12" s="31" t="str">
        <x:v>13+ years</x:v>
      </x:c>
      <x:c r="C12" s="31" t="str">
        <x:v>Diesel</x:v>
      </x:c>
      <x:c r="D12" s="31" t="n">
        <x:v>4</x:v>
      </x:c>
      <x:c r="E12" s="31" t="n">
        <x:v>800000</x:v>
      </x:c>
      <x:c r="F12" s="31" t="n">
        <x:v>1010000</x:v>
      </x:c>
      <x:c r="G12" s="31" t="n">
        <x:v>69000</x:v>
      </x:c>
    </x:row>
    <x:row r="13">
      <x:c r="A13" s="31" t="str">
        <x:v>BMW</x:v>
      </x:c>
      <x:c r="B13" s="31" t="str">
        <x:v>13+ years</x:v>
      </x:c>
      <x:c r="C13" s="31" t="str">
        <x:v>Petrol</x:v>
      </x:c>
      <x:c r="D13" s="31" t="n">
        <x:v>9</x:v>
      </x:c>
      <x:c r="E13" s="31" t="n">
        <x:v>790000</x:v>
      </x:c>
      <x:c r="F13" s="31" t="n">
        <x:v>878333.3333333334</x:v>
      </x:c>
      <x:c r="G13" s="31" t="n">
        <x:v>71596.88888888889</x:v>
      </x:c>
    </x:row>
    <x:row r="14">
      <x:c r="A14" s="31" t="str">
        <x:v>BMW</x:v>
      </x:c>
      <x:c r="B14" s="31" t="str">
        <x:v>3-5 years</x:v>
      </x:c>
      <x:c r="C14" s="31" t="str">
        <x:v>Diesel</x:v>
      </x:c>
      <x:c r="D14" s="31" t="n">
        <x:v>131</x:v>
      </x:c>
      <x:c r="E14" s="31" t="n">
        <x:v>3300000</x:v>
      </x:c>
      <x:c r="F14" s="31" t="n">
        <x:v>3705656.4885496185</x:v>
      </x:c>
      <x:c r="G14" s="31" t="n">
        <x:v>36950.54961832061</x:v>
      </x:c>
    </x:row>
    <x:row r="15">
      <x:c r="A15" s="31" t="str">
        <x:v>BMW</x:v>
      </x:c>
      <x:c r="B15" s="31" t="str">
        <x:v>3-5 years</x:v>
      </x:c>
      <x:c r="C15" s="31" t="str">
        <x:v>Petrol</x:v>
      </x:c>
      <x:c r="D15" s="31" t="n">
        <x:v>11</x:v>
      </x:c>
      <x:c r="E15" s="31" t="n">
        <x:v>3400000</x:v>
      </x:c>
      <x:c r="F15" s="31" t="n">
        <x:v>3804545.4545454546</x:v>
      </x:c>
      <x:c r="G15" s="31" t="n">
        <x:v>31981.81818181818</x:v>
      </x:c>
    </x:row>
    <x:row r="16">
      <x:c r="A16" s="31" t="str">
        <x:v>BMW</x:v>
      </x:c>
      <x:c r="B16" s="31" t="str">
        <x:v>6-8 years</x:v>
      </x:c>
      <x:c r="C16" s="31" t="str">
        <x:v>Diesel</x:v>
      </x:c>
      <x:c r="D16" s="31" t="n">
        <x:v>131</x:v>
      </x:c>
      <x:c r="E16" s="31" t="n">
        <x:v>2025000</x:v>
      </x:c>
      <x:c r="F16" s="31" t="n">
        <x:v>2224633.5877862596</x:v>
      </x:c>
      <x:c r="G16" s="31" t="n">
        <x:v>57634.06106870229</x:v>
      </x:c>
    </x:row>
    <x:row r="17">
      <x:c r="A17" s="31" t="str">
        <x:v>BMW</x:v>
      </x:c>
      <x:c r="B17" s="31" t="str">
        <x:v>6-8 years</x:v>
      </x:c>
      <x:c r="C17" s="31" t="str">
        <x:v>Petrol</x:v>
      </x:c>
      <x:c r="D17" s="31" t="n">
        <x:v>2</x:v>
      </x:c>
      <x:c r="E17" s="31" t="n">
        <x:v>2899500</x:v>
      </x:c>
      <x:c r="F17" s="31" t="n">
        <x:v>2899500</x:v>
      </x:c>
      <x:c r="G17" s="31" t="n">
        <x:v>38500</x:v>
      </x:c>
    </x:row>
    <x:row r="18">
      <x:c r="A18" s="31" t="str">
        <x:v>BMW</x:v>
      </x:c>
      <x:c r="B18" s="31" t="str">
        <x:v>9-12 years</x:v>
      </x:c>
      <x:c r="C18" s="31" t="str">
        <x:v>Diesel</x:v>
      </x:c>
      <x:c r="D18" s="31" t="n">
        <x:v>96</x:v>
      </x:c>
      <x:c r="E18" s="31" t="n">
        <x:v>1150000</x:v>
      </x:c>
      <x:c r="F18" s="31" t="n">
        <x:v>1212187.5</x:v>
      </x:c>
      <x:c r="G18" s="31" t="n">
        <x:v>76056.65625</x:v>
      </x:c>
    </x:row>
    <x:row r="19">
      <x:c r="A19" s="31" t="str">
        <x:v>BMW</x:v>
      </x:c>
      <x:c r="B19" s="31" t="str">
        <x:v>9-12 years</x:v>
      </x:c>
      <x:c r="C19" s="31" t="str">
        <x:v>Petrol</x:v>
      </x:c>
      <x:c r="D19" s="31" t="n">
        <x:v>16</x:v>
      </x:c>
      <x:c r="E19" s="31" t="n">
        <x:v>1199500</x:v>
      </x:c>
      <x:c r="F19" s="31" t="n">
        <x:v>1462062.5</x:v>
      </x:c>
      <x:c r="G19" s="31" t="n">
        <x:v>52231.75</x:v>
      </x:c>
    </x:row>
    <x:row r="20">
      <x:c r="A20" s="31" t="str">
        <x:v>Bentley</x:v>
      </x:c>
      <x:c r="B20" s="31" t="str">
        <x:v>9-12 years</x:v>
      </x:c>
      <x:c r="C20" s="31" t="str">
        <x:v>Petrol</x:v>
      </x:c>
      <x:c r="D20" s="31" t="n">
        <x:v>3</x:v>
      </x:c>
      <x:c r="E20" s="31" t="n">
        <x:v>8100000</x:v>
      </x:c>
      <x:c r="F20" s="31" t="n">
        <x:v>9266666.666666666</x:v>
      </x:c>
      <x:c r="G20" s="31" t="n">
        <x:v>25500</x:v>
      </x:c>
    </x:row>
    <x:row r="21">
      <x:c r="A21" s="31" t="str">
        <x:v>Datsun</x:v>
      </x:c>
      <x:c r="B21" s="31" t="str">
        <x:v>0-2 years</x:v>
      </x:c>
      <x:c r="C21" s="31" t="str">
        <x:v>Petrol</x:v>
      </x:c>
      <x:c r="D21" s="31" t="n">
        <x:v>15</x:v>
      </x:c>
      <x:c r="E21" s="31" t="n">
        <x:v>415000</x:v>
      </x:c>
      <x:c r="F21" s="31" t="n">
        <x:v>410200</x:v>
      </x:c>
      <x:c r="G21" s="31" t="n">
        <x:v>11107.333333333334</x:v>
      </x:c>
    </x:row>
    <x:row r="22">
      <x:c r="A22" s="31" t="str">
        <x:v>Datsun</x:v>
      </x:c>
      <x:c r="B22" s="31" t="str">
        <x:v>3-5 years</x:v>
      </x:c>
      <x:c r="C22" s="31" t="str">
        <x:v>Petrol</x:v>
      </x:c>
      <x:c r="D22" s="31" t="n">
        <x:v>131</x:v>
      </x:c>
      <x:c r="E22" s="31" t="n">
        <x:v>300000</x:v>
      </x:c>
      <x:c r="F22" s="31" t="n">
        <x:v>316786.2595419847</x:v>
      </x:c>
      <x:c r="G22" s="31" t="n">
        <x:v>30657.557251908398</x:v>
      </x:c>
    </x:row>
    <x:row r="23">
      <x:c r="A23" s="31" t="str">
        <x:v>Datsun</x:v>
      </x:c>
      <x:c r="B23" s="31" t="str">
        <x:v>6-8 years</x:v>
      </x:c>
      <x:c r="C23" s="31" t="str">
        <x:v>Petrol</x:v>
      </x:c>
      <x:c r="D23" s="31" t="n">
        <x:v>24</x:v>
      </x:c>
      <x:c r="E23" s="31" t="n">
        <x:v>278000</x:v>
      </x:c>
      <x:c r="F23" s="31" t="n">
        <x:v>284833.3333333333</x:v>
      </x:c>
      <x:c r="G23" s="31" t="n">
        <x:v>59494.083333333336</x:v>
      </x:c>
    </x:row>
    <x:row r="24">
      <x:c r="A24" s="31" t="str">
        <x:v>Ferrari</x:v>
      </x:c>
      <x:c r="B24" s="31" t="str">
        <x:v>0-2 years</x:v>
      </x:c>
      <x:c r="C24" s="31" t="str">
        <x:v>Petrol</x:v>
      </x:c>
      <x:c r="D24" s="31" t="n">
        <x:v>1</x:v>
      </x:c>
      <x:c r="E24" s="31" t="n">
        <x:v>39500000</x:v>
      </x:c>
      <x:c r="F24" s="31" t="n">
        <x:v>39500000</x:v>
      </x:c>
      <x:c r="G24" s="31" t="n">
        <x:v>3800</x:v>
      </x:c>
    </x:row>
    <x:row r="25">
      <x:c r="A25" s="31" t="str">
        <x:v>Force</x:v>
      </x:c>
      <x:c r="B25" s="31" t="str">
        <x:v>3-5 years</x:v>
      </x:c>
      <x:c r="C25" s="31" t="str">
        <x:v>Diesel</x:v>
      </x:c>
      <x:c r="D25" s="31" t="n">
        <x:v>1</x:v>
      </x:c>
      <x:c r="E25" s="31" t="n">
        <x:v>700000</x:v>
      </x:c>
      <x:c r="F25" s="31" t="n">
        <x:v>700000</x:v>
      </x:c>
      <x:c r="G25" s="31" t="n">
        <x:v>60000</x:v>
      </x:c>
    </x:row>
    <x:row r="26">
      <x:c r="A26" s="31" t="str">
        <x:v>Ford</x:v>
      </x:c>
      <x:c r="B26" s="31" t="str">
        <x:v>0-2 years</x:v>
      </x:c>
      <x:c r="C26" s="31" t="str">
        <x:v>Diesel</x:v>
      </x:c>
      <x:c r="D26" s="31" t="n">
        <x:v>32</x:v>
      </x:c>
      <x:c r="E26" s="31" t="n">
        <x:v>935000</x:v>
      </x:c>
      <x:c r="F26" s="31" t="n">
        <x:v>1037375</x:v>
      </x:c>
      <x:c r="G26" s="31" t="n">
        <x:v>27069.0625</x:v>
      </x:c>
    </x:row>
    <x:row r="27">
      <x:c r="A27" s="31" t="str">
        <x:v>Ford</x:v>
      </x:c>
      <x:c r="B27" s="31" t="str">
        <x:v>0-2 years</x:v>
      </x:c>
      <x:c r="C27" s="31" t="str">
        <x:v>Petrol</x:v>
      </x:c>
      <x:c r="D27" s="31" t="n">
        <x:v>31</x:v>
      </x:c>
      <x:c r="E27" s="31" t="n">
        <x:v>915000</x:v>
      </x:c>
      <x:c r="F27" s="31" t="n">
        <x:v>861032.2580645161</x:v>
      </x:c>
      <x:c r="G27" s="31" t="n">
        <x:v>16496.677419354837</x:v>
      </x:c>
    </x:row>
    <x:row r="28">
      <x:c r="A28" s="31" t="str">
        <x:v>Ford</x:v>
      </x:c>
      <x:c r="B28" s="31" t="str">
        <x:v>13+ years</x:v>
      </x:c>
      <x:c r="C28" s="31" t="str">
        <x:v>Diesel</x:v>
      </x:c>
      <x:c r="D28" s="31" t="n">
        <x:v>2</x:v>
      </x:c>
      <x:c r="E28" s="31" t="n">
        <x:v>392500</x:v>
      </x:c>
      <x:c r="F28" s="31" t="n">
        <x:v>392500</x:v>
      </x:c>
      <x:c r="G28" s="31" t="n">
        <x:v>87600</x:v>
      </x:c>
    </x:row>
    <x:row r="29">
      <x:c r="A29" s="31" t="str">
        <x:v>Ford</x:v>
      </x:c>
      <x:c r="B29" s="31" t="str">
        <x:v>3-5 years</x:v>
      </x:c>
      <x:c r="C29" s="31" t="str">
        <x:v>Diesel</x:v>
      </x:c>
      <x:c r="D29" s="31" t="n">
        <x:v>187</x:v>
      </x:c>
      <x:c r="E29" s="31" t="n">
        <x:v>750000</x:v>
      </x:c>
      <x:c r="F29" s="31" t="n">
        <x:v>1003700.5347593583</x:v>
      </x:c>
      <x:c r="G29" s="31" t="n">
        <x:v>55548.53475935829</x:v>
      </x:c>
    </x:row>
    <x:row r="30">
      <x:c r="A30" s="31" t="str">
        <x:v>Ford</x:v>
      </x:c>
      <x:c r="B30" s="31" t="str">
        <x:v>3-5 years</x:v>
      </x:c>
      <x:c r="C30" s="31" t="str">
        <x:v>Petrol</x:v>
      </x:c>
      <x:c r="D30" s="31" t="n">
        <x:v>111</x:v>
      </x:c>
      <x:c r="E30" s="31" t="n">
        <x:v>630000</x:v>
      </x:c>
      <x:c r="F30" s="31" t="n">
        <x:v>648333.3333333334</x:v>
      </x:c>
      <x:c r="G30" s="31" t="n">
        <x:v>33033.342342342345</x:v>
      </x:c>
    </x:row>
    <x:row r="31">
      <x:c r="A31" s="31" t="str">
        <x:v>Ford</x:v>
      </x:c>
      <x:c r="B31" s="31" t="str">
        <x:v>6-8 years</x:v>
      </x:c>
      <x:c r="C31" s="31" t="str">
        <x:v>Diesel</x:v>
      </x:c>
      <x:c r="D31" s="31" t="n">
        <x:v>206</x:v>
      </x:c>
      <x:c r="E31" s="31" t="n">
        <x:v>477500</x:v>
      </x:c>
      <x:c r="F31" s="31" t="n">
        <x:v>487655.33980582526</x:v>
      </x:c>
      <x:c r="G31" s="31" t="n">
        <x:v>73817.68932038835</x:v>
      </x:c>
    </x:row>
    <x:row r="32">
      <x:c r="A32" s="31" t="str">
        <x:v>Ford</x:v>
      </x:c>
      <x:c r="B32" s="31" t="str">
        <x:v>6-8 years</x:v>
      </x:c>
      <x:c r="C32" s="31" t="str">
        <x:v>Petrol</x:v>
      </x:c>
      <x:c r="D32" s="31" t="n">
        <x:v>62</x:v>
      </x:c>
      <x:c r="E32" s="31" t="n">
        <x:v>532500</x:v>
      </x:c>
      <x:c r="F32" s="31" t="n">
        <x:v>518354.8387096774</x:v>
      </x:c>
      <x:c r="G32" s="31" t="n">
        <x:v>53014.48387096774</x:v>
      </x:c>
    </x:row>
    <x:row r="33">
      <x:c r="A33" s="31" t="str">
        <x:v>Ford</x:v>
      </x:c>
      <x:c r="B33" s="31" t="str">
        <x:v>9-12 years</x:v>
      </x:c>
      <x:c r="C33" s="31" t="str">
        <x:v>Diesel</x:v>
      </x:c>
      <x:c r="D33" s="31" t="n">
        <x:v>104</x:v>
      </x:c>
      <x:c r="E33" s="31" t="n">
        <x:v>250000</x:v>
      </x:c>
      <x:c r="F33" s="31" t="n">
        <x:v>280730.76923076925</x:v>
      </x:c>
      <x:c r="G33" s="31" t="n">
        <x:v>80977.99038461539</x:v>
      </x:c>
    </x:row>
    <x:row r="34">
      <x:c r="A34" s="31" t="str">
        <x:v>Ford</x:v>
      </x:c>
      <x:c r="B34" s="31" t="str">
        <x:v>9-12 years</x:v>
      </x:c>
      <x:c r="C34" s="31" t="str">
        <x:v>Petrol</x:v>
      </x:c>
      <x:c r="D34" s="31" t="n">
        <x:v>41</x:v>
      </x:c>
      <x:c r="E34" s="31" t="n">
        <x:v>235000</x:v>
      </x:c>
      <x:c r="F34" s="31" t="n">
        <x:v>235195.1219512195</x:v>
      </x:c>
      <x:c r="G34" s="31" t="n">
        <x:v>66769.73170731707</x:v>
      </x:c>
    </x:row>
    <x:row r="35">
      <x:c r="A35" s="31" t="str">
        <x:v>Honda</x:v>
      </x:c>
      <x:c r="B35" s="31" t="str">
        <x:v>0-2 years</x:v>
      </x:c>
      <x:c r="C35" s="31" t="str">
        <x:v>Diesel</x:v>
      </x:c>
      <x:c r="D35" s="31" t="n">
        <x:v>20</x:v>
      </x:c>
      <x:c r="E35" s="31" t="n">
        <x:v>915000</x:v>
      </x:c>
      <x:c r="F35" s="31" t="n">
        <x:v>1003700</x:v>
      </x:c>
      <x:c r="G35" s="31" t="n">
        <x:v>24392.55</x:v>
      </x:c>
    </x:row>
    <x:row r="36">
      <x:c r="A36" s="31" t="str">
        <x:v>Honda</x:v>
      </x:c>
      <x:c r="B36" s="31" t="str">
        <x:v>0-2 years</x:v>
      </x:c>
      <x:c r="C36" s="31" t="str">
        <x:v>Petrol</x:v>
      </x:c>
      <x:c r="D36" s="31" t="n">
        <x:v>99</x:v>
      </x:c>
      <x:c r="E36" s="31" t="n">
        <x:v>825000</x:v>
      </x:c>
      <x:c r="F36" s="31" t="n">
        <x:v>987575.7575757576</x:v>
      </x:c>
      <x:c r="G36" s="31" t="n">
        <x:v>13550.939393939394</x:v>
      </x:c>
    </x:row>
    <x:row r="37">
      <x:c r="A37" s="31" t="str">
        <x:v>Honda</x:v>
      </x:c>
      <x:c r="B37" s="31" t="str">
        <x:v>13+ years</x:v>
      </x:c>
      <x:c r="C37" s="31" t="str">
        <x:v>Petrol</x:v>
      </x:c>
      <x:c r="D37" s="31" t="n">
        <x:v>91</x:v>
      </x:c>
      <x:c r="E37" s="31" t="n">
        <x:v>225000</x:v>
      </x:c>
      <x:c r="F37" s="31" t="n">
        <x:v>243285.7142857143</x:v>
      </x:c>
      <x:c r="G37" s="31" t="n">
        <x:v>81174.64835164836</x:v>
      </x:c>
    </x:row>
    <x:row r="38">
      <x:c r="A38" s="31" t="str">
        <x:v>Honda</x:v>
      </x:c>
      <x:c r="B38" s="31" t="str">
        <x:v>3-5 years</x:v>
      </x:c>
      <x:c r="C38" s="31" t="str">
        <x:v>Diesel</x:v>
      </x:c>
      <x:c r="D38" s="31" t="n">
        <x:v>174</x:v>
      </x:c>
      <x:c r="E38" s="31" t="n">
        <x:v>750000</x:v>
      </x:c>
      <x:c r="F38" s="31" t="n">
        <x:v>745695.4022988506</x:v>
      </x:c>
      <x:c r="G38" s="31" t="n">
        <x:v>53532.37356321839</x:v>
      </x:c>
    </x:row>
    <x:row r="39">
      <x:c r="A39" s="31" t="str">
        <x:v>Honda</x:v>
      </x:c>
      <x:c r="B39" s="31" t="str">
        <x:v>3-5 years</x:v>
      </x:c>
      <x:c r="C39" s="31" t="str">
        <x:v>Petrol</x:v>
      </x:c>
      <x:c r="D39" s="31" t="n">
        <x:v>412</x:v>
      </x:c>
      <x:c r="E39" s="31" t="n">
        <x:v>725000</x:v>
      </x:c>
      <x:c r="F39" s="31" t="n">
        <x:v>758174.7572815533</x:v>
      </x:c>
      <x:c r="G39" s="31" t="n">
        <x:v>39031.41019417476</x:v>
      </x:c>
    </x:row>
    <x:row r="40">
      <x:c r="A40" s="31" t="str">
        <x:v>Honda</x:v>
      </x:c>
      <x:c r="B40" s="31" t="str">
        <x:v>6-8 years</x:v>
      </x:c>
      <x:c r="C40" s="31" t="str">
        <x:v>CNG</x:v>
      </x:c>
      <x:c r="D40" s="31" t="n">
        <x:v>2</x:v>
      </x:c>
      <x:c r="E40" s="31" t="n">
        <x:v>422000</x:v>
      </x:c>
      <x:c r="F40" s="31" t="n">
        <x:v>422000</x:v>
      </x:c>
      <x:c r="G40" s="31" t="n">
        <x:v>62500</x:v>
      </x:c>
    </x:row>
    <x:row r="41">
      <x:c r="A41" s="31" t="str">
        <x:v>Honda</x:v>
      </x:c>
      <x:c r="B41" s="31" t="str">
        <x:v>6-8 years</x:v>
      </x:c>
      <x:c r="C41" s="31" t="str">
        <x:v>Diesel</x:v>
      </x:c>
      <x:c r="D41" s="31" t="n">
        <x:v>265</x:v>
      </x:c>
      <x:c r="E41" s="31" t="n">
        <x:v>515000</x:v>
      </x:c>
      <x:c r="F41" s="31" t="n">
        <x:v>507139.62264150946</x:v>
      </x:c>
      <x:c r="G41" s="31" t="n">
        <x:v>74931.44905660377</x:v>
      </x:c>
    </x:row>
    <x:row r="42">
      <x:c r="A42" s="31" t="str">
        <x:v>Honda</x:v>
      </x:c>
      <x:c r="B42" s="31" t="str">
        <x:v>6-8 years</x:v>
      </x:c>
      <x:c r="C42" s="31" t="str">
        <x:v>Petrol</x:v>
      </x:c>
      <x:c r="D42" s="31" t="n">
        <x:v>218</x:v>
      </x:c>
      <x:c r="E42" s="31" t="n">
        <x:v>550000</x:v>
      </x:c>
      <x:c r="F42" s="31" t="n">
        <x:v>572821.1009174312</x:v>
      </x:c>
      <x:c r="G42" s="31" t="n">
        <x:v>49834.52752293578</x:v>
      </x:c>
    </x:row>
    <x:row r="43">
      <x:c r="A43" s="31" t="str">
        <x:v>Honda</x:v>
      </x:c>
      <x:c r="B43" s="31" t="str">
        <x:v>9-12 years</x:v>
      </x:c>
      <x:c r="C43" s="31" t="str">
        <x:v>Petrol</x:v>
      </x:c>
      <x:c r="D43" s="31" t="n">
        <x:v>195</x:v>
      </x:c>
      <x:c r="E43" s="31" t="n">
        <x:v>345000</x:v>
      </x:c>
      <x:c r="F43" s="31" t="n">
        <x:v>354600</x:v>
      </x:c>
      <x:c r="G43" s="31" t="n">
        <x:v>69469.8717948718</x:v>
      </x:c>
    </x:row>
    <x:row r="44">
      <x:c r="A44" s="31" t="str">
        <x:v>Hyundai</x:v>
      </x:c>
      <x:c r="B44" s="31" t="str">
        <x:v>0-2 years</x:v>
      </x:c>
      <x:c r="C44" s="31" t="str">
        <x:v>CNG</x:v>
      </x:c>
      <x:c r="D44" s="31" t="n">
        <x:v>3</x:v>
      </x:c>
      <x:c r="E44" s="31" t="n">
        <x:v>540000</x:v>
      </x:c>
      <x:c r="F44" s="31" t="n">
        <x:v>548333.3333333334</x:v>
      </x:c>
      <x:c r="G44" s="31" t="n">
        <x:v>20442.666666666668</x:v>
      </x:c>
    </x:row>
    <x:row r="45">
      <x:c r="A45" s="31" t="str">
        <x:v>Hyundai</x:v>
      </x:c>
      <x:c r="B45" s="31" t="str">
        <x:v>0-2 years</x:v>
      </x:c>
      <x:c r="C45" s="31" t="str">
        <x:v>Diesel</x:v>
      </x:c>
      <x:c r="D45" s="31" t="n">
        <x:v>63</x:v>
      </x:c>
      <x:c r="E45" s="31" t="n">
        <x:v>1050000</x:v>
      </x:c>
      <x:c r="F45" s="31" t="n">
        <x:v>1055142.857142857</x:v>
      </x:c>
      <x:c r="G45" s="31" t="n">
        <x:v>24945.14285714286</x:v>
      </x:c>
    </x:row>
    <x:row r="46">
      <x:c r="A46" s="31" t="str">
        <x:v>Hyundai</x:v>
      </x:c>
      <x:c r="B46" s="31" t="str">
        <x:v>0-2 years</x:v>
      </x:c>
      <x:c r="C46" s="31" t="str">
        <x:v>Petrol</x:v>
      </x:c>
      <x:c r="D46" s="31" t="n">
        <x:v>212</x:v>
      </x:c>
      <x:c r="E46" s="31" t="n">
        <x:v>690000</x:v>
      </x:c>
      <x:c r="F46" s="31" t="n">
        <x:v>770787.7358490566</x:v>
      </x:c>
      <x:c r="G46" s="31" t="n">
        <x:v>14474.778301886792</x:v>
      </x:c>
    </x:row>
    <x:row r="47">
      <x:c r="A47" s="31" t="str">
        <x:v>Hyundai</x:v>
      </x:c>
      <x:c r="B47" s="31" t="str">
        <x:v>13+ years</x:v>
      </x:c>
      <x:c r="C47" s="31" t="str">
        <x:v>Diesel</x:v>
      </x:c>
      <x:c r="D47" s="31" t="n">
        <x:v>10</x:v>
      </x:c>
      <x:c r="E47" s="31" t="n">
        <x:v>180000</x:v>
      </x:c>
      <x:c r="F47" s="31" t="n">
        <x:v>184000</x:v>
      </x:c>
      <x:c r="G47" s="31" t="n">
        <x:v>94815.3</x:v>
      </x:c>
    </x:row>
    <x:row r="48">
      <x:c r="A48" s="31" t="str">
        <x:v>Hyundai</x:v>
      </x:c>
      <x:c r="B48" s="31" t="str">
        <x:v>13+ years</x:v>
      </x:c>
      <x:c r="C48" s="31" t="str">
        <x:v>Petrol</x:v>
      </x:c>
      <x:c r="D48" s="31" t="n">
        <x:v>66</x:v>
      </x:c>
      <x:c r="E48" s="31" t="n">
        <x:v>152500</x:v>
      </x:c>
      <x:c r="F48" s="31" t="n">
        <x:v>166803.0303030303</x:v>
      </x:c>
      <x:c r="G48" s="31" t="n">
        <x:v>67766.81818181818</x:v>
      </x:c>
    </x:row>
    <x:row r="49">
      <x:c r="A49" s="31" t="str">
        <x:v>Hyundai</x:v>
      </x:c>
      <x:c r="B49" s="31" t="str">
        <x:v>3-5 years</x:v>
      </x:c>
      <x:c r="C49" s="31" t="str">
        <x:v>CNG</x:v>
      </x:c>
      <x:c r="D49" s="31" t="n">
        <x:v>6</x:v>
      </x:c>
      <x:c r="E49" s="31" t="n">
        <x:v>485000</x:v>
      </x:c>
      <x:c r="F49" s="31" t="n">
        <x:v>482500</x:v>
      </x:c>
      <x:c r="G49" s="31" t="n">
        <x:v>31572.666666666668</x:v>
      </x:c>
    </x:row>
    <x:row r="50">
      <x:c r="A50" s="31" t="str">
        <x:v>Hyundai</x:v>
      </x:c>
      <x:c r="B50" s="31" t="str">
        <x:v>3-5 years</x:v>
      </x:c>
      <x:c r="C50" s="31" t="str">
        <x:v>Diesel</x:v>
      </x:c>
      <x:c r="D50" s="31" t="n">
        <x:v>452</x:v>
      </x:c>
      <x:c r="E50" s="31" t="n">
        <x:v>850000</x:v>
      </x:c>
      <x:c r="F50" s="31" t="n">
        <x:v>866530.9734513274</x:v>
      </x:c>
      <x:c r="G50" s="31" t="n">
        <x:v>54206.566371681416</x:v>
      </x:c>
    </x:row>
    <x:row r="51">
      <x:c r="A51" s="31" t="str">
        <x:v>Hyundai</x:v>
      </x:c>
      <x:c r="B51" s="31" t="str">
        <x:v>3-5 years</x:v>
      </x:c>
      <x:c r="C51" s="31" t="str">
        <x:v>Petrol</x:v>
      </x:c>
      <x:c r="D51" s="31" t="n">
        <x:v>679</x:v>
      </x:c>
      <x:c r="E51" s="31" t="n">
        <x:v>595000</x:v>
      </x:c>
      <x:c r="F51" s="31" t="n">
        <x:v>661197.3490427099</x:v>
      </x:c>
      <x:c r="G51" s="31" t="n">
        <x:v>32774.70986745213</x:v>
      </x:c>
    </x:row>
    <x:row r="52">
      <x:c r="A52" s="31" t="str">
        <x:v>Hyundai</x:v>
      </x:c>
      <x:c r="B52" s="31" t="str">
        <x:v>6-8 years</x:v>
      </x:c>
      <x:c r="C52" s="31" t="str">
        <x:v>Diesel</x:v>
      </x:c>
      <x:c r="D52" s="31" t="n">
        <x:v>373</x:v>
      </x:c>
      <x:c r="E52" s="31" t="n">
        <x:v>525000</x:v>
      </x:c>
      <x:c r="F52" s="31" t="n">
        <x:v>555158.1769436997</x:v>
      </x:c>
      <x:c r="G52" s="31" t="n">
        <x:v>75585.10991957104</x:v>
      </x:c>
    </x:row>
    <x:row r="53">
      <x:c r="A53" s="31" t="str">
        <x:v>Hyundai</x:v>
      </x:c>
      <x:c r="B53" s="31" t="str">
        <x:v>6-8 years</x:v>
      </x:c>
      <x:c r="C53" s="31" t="str">
        <x:v>LPG</x:v>
      </x:c>
      <x:c r="D53" s="31" t="n">
        <x:v>4</x:v>
      </x:c>
      <x:c r="E53" s="31" t="n">
        <x:v>336500</x:v>
      </x:c>
      <x:c r="F53" s="31" t="n">
        <x:v>338000</x:v>
      </x:c>
      <x:c r="G53" s="31" t="n">
        <x:v>65735.75</x:v>
      </x:c>
    </x:row>
    <x:row r="54">
      <x:c r="A54" s="31" t="str">
        <x:v>Hyundai</x:v>
      </x:c>
      <x:c r="B54" s="31" t="str">
        <x:v>6-8 years</x:v>
      </x:c>
      <x:c r="C54" s="31" t="str">
        <x:v>Petrol</x:v>
      </x:c>
      <x:c r="D54" s="31" t="n">
        <x:v>493</x:v>
      </x:c>
      <x:c r="E54" s="31" t="n">
        <x:v>445000</x:v>
      </x:c>
      <x:c r="F54" s="31" t="n">
        <x:v>450174.44219066936</x:v>
      </x:c>
      <x:c r="G54" s="31" t="n">
        <x:v>49307.837728194725</x:v>
      </x:c>
    </x:row>
    <x:row r="55">
      <x:c r="A55" s="31" t="str">
        <x:v>Hyundai</x:v>
      </x:c>
      <x:c r="B55" s="31" t="str">
        <x:v>9-12 years</x:v>
      </x:c>
      <x:c r="C55" s="31" t="str">
        <x:v>CNG</x:v>
      </x:c>
      <x:c r="D55" s="31" t="n">
        <x:v>3</x:v>
      </x:c>
      <x:c r="E55" s="31" t="n">
        <x:v>245000</x:v>
      </x:c>
      <x:c r="F55" s="31" t="n">
        <x:v>228333.33333333334</x:v>
      </x:c>
      <x:c r="G55" s="31" t="n">
        <x:v>90000</x:v>
      </x:c>
    </x:row>
    <x:row r="56">
      <x:c r="A56" s="31" t="str">
        <x:v>Hyundai</x:v>
      </x:c>
      <x:c r="B56" s="31" t="str">
        <x:v>9-12 years</x:v>
      </x:c>
      <x:c r="C56" s="31" t="str">
        <x:v>Diesel</x:v>
      </x:c>
      <x:c r="D56" s="31" t="n">
        <x:v>152</x:v>
      </x:c>
      <x:c r="E56" s="31" t="n">
        <x:v>420000</x:v>
      </x:c>
      <x:c r="F56" s="31" t="n">
        <x:v>419855.2631578947</x:v>
      </x:c>
      <x:c r="G56" s="31" t="n">
        <x:v>77823.94078947368</x:v>
      </x:c>
    </x:row>
    <x:row r="57">
      <x:c r="A57" s="31" t="str">
        <x:v>Hyundai</x:v>
      </x:c>
      <x:c r="B57" s="31" t="str">
        <x:v>9-12 years</x:v>
      </x:c>
      <x:c r="C57" s="31" t="str">
        <x:v>LPG</x:v>
      </x:c>
      <x:c r="D57" s="31" t="n">
        <x:v>9</x:v>
      </x:c>
      <x:c r="E57" s="31" t="n">
        <x:v>200000</x:v>
      </x:c>
      <x:c r="F57" s="31" t="n">
        <x:v>207666.66666666666</x:v>
      </x:c>
      <x:c r="G57" s="31" t="n">
        <x:v>75413.44444444444</x:v>
      </x:c>
    </x:row>
    <x:row r="58">
      <x:c r="A58" s="31" t="str">
        <x:v>Hyundai</x:v>
      </x:c>
      <x:c r="B58" s="31" t="str">
        <x:v>9-12 years</x:v>
      </x:c>
      <x:c r="C58" s="31" t="str">
        <x:v>Petrol</x:v>
      </x:c>
      <x:c r="D58" s="31" t="n">
        <x:v>427</x:v>
      </x:c>
      <x:c r="E58" s="31" t="n">
        <x:v>266000</x:v>
      </x:c>
      <x:c r="F58" s="31" t="n">
        <x:v>274325.5269320843</x:v>
      </x:c>
      <x:c r="G58" s="31" t="n">
        <x:v>60921.66978922717</x:v>
      </x:c>
    </x:row>
    <x:row r="59">
      <x:c r="A59" s="31" t="str">
        <x:v>ISUZU</x:v>
      </x:c>
      <x:c r="B59" s="31" t="str">
        <x:v>3-5 years</x:v>
      </x:c>
      <x:c r="C59" s="31" t="str">
        <x:v>Diesel</x:v>
      </x:c>
      <x:c r="D59" s="31" t="n">
        <x:v>2</x:v>
      </x:c>
      <x:c r="E59" s="31" t="n">
        <x:v>1897500</x:v>
      </x:c>
      <x:c r="F59" s="31" t="n">
        <x:v>1897500</x:v>
      </x:c>
      <x:c r="G59" s="31" t="n">
        <x:v>56014.5</x:v>
      </x:c>
    </x:row>
    <x:row r="60">
      <x:c r="A60" s="31" t="str">
        <x:v>Isuzu</x:v>
      </x:c>
      <x:c r="B60" s="31" t="str">
        <x:v>0-2 years</x:v>
      </x:c>
      <x:c r="C60" s="31" t="str">
        <x:v>Diesel</x:v>
      </x:c>
      <x:c r="D60" s="31" t="n">
        <x:v>1</x:v>
      </x:c>
      <x:c r="E60" s="31" t="n">
        <x:v>2300000</x:v>
      </x:c>
      <x:c r="F60" s="31" t="n">
        <x:v>2300000</x:v>
      </x:c>
      <x:c r="G60" s="31" t="n">
        <x:v>34000</x:v>
      </x:c>
    </x:row>
    <x:row r="61">
      <x:c r="A61" s="31" t="str">
        <x:v>Isuzu</x:v>
      </x:c>
      <x:c r="B61" s="31" t="str">
        <x:v>3-5 years</x:v>
      </x:c>
      <x:c r="C61" s="31" t="str">
        <x:v>Diesel</x:v>
      </x:c>
      <x:c r="D61" s="31" t="n">
        <x:v>6</x:v>
      </x:c>
      <x:c r="E61" s="31" t="n">
        <x:v>1225000</x:v>
      </x:c>
      <x:c r="F61" s="31" t="n">
        <x:v>1223333.3333333333</x:v>
      </x:c>
      <x:c r="G61" s="31" t="n">
        <x:v>75855.33333333333</x:v>
      </x:c>
    </x:row>
    <x:row r="62">
      <x:c r="A62" s="31" t="str">
        <x:v>Jaguar</x:v>
      </x:c>
      <x:c r="B62" s="31" t="str">
        <x:v>0-2 years</x:v>
      </x:c>
      <x:c r="C62" s="31" t="str">
        <x:v>Diesel</x:v>
      </x:c>
      <x:c r="D62" s="31" t="n">
        <x:v>4</x:v>
      </x:c>
      <x:c r="E62" s="31" t="n">
        <x:v>4175000</x:v>
      </x:c>
      <x:c r="F62" s="31" t="n">
        <x:v>4462500</x:v>
      </x:c>
      <x:c r="G62" s="31" t="n">
        <x:v>19000</x:v>
      </x:c>
    </x:row>
    <x:row r="63">
      <x:c r="A63" s="31" t="str">
        <x:v>Jaguar</x:v>
      </x:c>
      <x:c r="B63" s="31" t="str">
        <x:v>0-2 years</x:v>
      </x:c>
      <x:c r="C63" s="31" t="str">
        <x:v>Petrol</x:v>
      </x:c>
      <x:c r="D63" s="31" t="n">
        <x:v>1</x:v>
      </x:c>
      <x:c r="E63" s="31" t="n">
        <x:v>5000000</x:v>
      </x:c>
      <x:c r="F63" s="31" t="n">
        <x:v>5000000</x:v>
      </x:c>
      <x:c r="G63" s="31" t="n">
        <x:v>30000</x:v>
      </x:c>
    </x:row>
    <x:row r="64">
      <x:c r="A64" s="31" t="str">
        <x:v>Jaguar</x:v>
      </x:c>
      <x:c r="B64" s="31" t="str">
        <x:v>3-5 years</x:v>
      </x:c>
      <x:c r="C64" s="31" t="str">
        <x:v>Diesel</x:v>
      </x:c>
      <x:c r="D64" s="31" t="n">
        <x:v>7</x:v>
      </x:c>
      <x:c r="E64" s="31" t="n">
        <x:v>3500000</x:v>
      </x:c>
      <x:c r="F64" s="31" t="n">
        <x:v>3521428.5714285714</x:v>
      </x:c>
      <x:c r="G64" s="31" t="n">
        <x:v>34404.57142857143</x:v>
      </x:c>
    </x:row>
    <x:row r="65">
      <x:c r="A65" s="31" t="str">
        <x:v>Jaguar</x:v>
      </x:c>
      <x:c r="B65" s="31" t="str">
        <x:v>3-5 years</x:v>
      </x:c>
      <x:c r="C65" s="31" t="str">
        <x:v>Petrol</x:v>
      </x:c>
      <x:c r="D65" s="31" t="n">
        <x:v>2</x:v>
      </x:c>
      <x:c r="E65" s="31" t="n">
        <x:v>2825000</x:v>
      </x:c>
      <x:c r="F65" s="31" t="n">
        <x:v>2825000</x:v>
      </x:c>
      <x:c r="G65" s="31" t="n">
        <x:v>27000</x:v>
      </x:c>
    </x:row>
    <x:row r="66">
      <x:c r="A66" s="31" t="str">
        <x:v>Jaguar</x:v>
      </x:c>
      <x:c r="B66" s="31" t="str">
        <x:v>6-8 years</x:v>
      </x:c>
      <x:c r="C66" s="31" t="str">
        <x:v>Diesel</x:v>
      </x:c>
      <x:c r="D66" s="31" t="n">
        <x:v>36</x:v>
      </x:c>
      <x:c r="E66" s="31" t="n">
        <x:v>2400000</x:v>
      </x:c>
      <x:c r="F66" s="31" t="n">
        <x:v>2390305.5555555555</x:v>
      </x:c>
      <x:c r="G66" s="31" t="n">
        <x:v>44808.75</x:v>
      </x:c>
    </x:row>
    <x:row r="67">
      <x:c r="A67" s="31" t="str">
        <x:v>Jaguar</x:v>
      </x:c>
      <x:c r="B67" s="31" t="str">
        <x:v>9-12 years</x:v>
      </x:c>
      <x:c r="C67" s="31" t="str">
        <x:v>Diesel</x:v>
      </x:c>
      <x:c r="D67" s="31" t="n">
        <x:v>8</x:v>
      </x:c>
      <x:c r="E67" s="31" t="n">
        <x:v>1620000</x:v>
      </x:c>
      <x:c r="F67" s="31" t="n">
        <x:v>1792250</x:v>
      </x:c>
      <x:c r="G67" s="31" t="n">
        <x:v>70875.125</x:v>
      </x:c>
    </x:row>
    <x:row r="68">
      <x:c r="A68" s="31" t="str">
        <x:v>Jeep</x:v>
      </x:c>
      <x:c r="B68" s="31" t="str">
        <x:v>0-2 years</x:v>
      </x:c>
      <x:c r="C68" s="31" t="str">
        <x:v>Diesel</x:v>
      </x:c>
      <x:c r="D68" s="31" t="n">
        <x:v>4</x:v>
      </x:c>
      <x:c r="E68" s="31" t="n">
        <x:v>1812500</x:v>
      </x:c>
      <x:c r="F68" s="31" t="n">
        <x:v>2018500</x:v>
      </x:c>
      <x:c r="G68" s="31" t="n">
        <x:v>15445</x:v>
      </x:c>
    </x:row>
    <x:row r="69">
      <x:c r="A69" s="31" t="str">
        <x:v>Jeep</x:v>
      </x:c>
      <x:c r="B69" s="31" t="str">
        <x:v>0-2 years</x:v>
      </x:c>
      <x:c r="C69" s="31" t="str">
        <x:v>Petrol</x:v>
      </x:c>
      <x:c r="D69" s="31" t="n">
        <x:v>5</x:v>
      </x:c>
      <x:c r="E69" s="31" t="n">
        <x:v>1600000</x:v>
      </x:c>
      <x:c r="F69" s="31" t="n">
        <x:v>2426000</x:v>
      </x:c>
      <x:c r="G69" s="31" t="n">
        <x:v>25800</x:v>
      </x:c>
    </x:row>
    <x:row r="70">
      <x:c r="A70" s="31" t="str">
        <x:v>Jeep</x:v>
      </x:c>
      <x:c r="B70" s="31" t="str">
        <x:v>3-5 years</x:v>
      </x:c>
      <x:c r="C70" s="31" t="str">
        <x:v>Diesel</x:v>
      </x:c>
      <x:c r="D70" s="31" t="n">
        <x:v>22</x:v>
      </x:c>
      <x:c r="E70" s="31" t="n">
        <x:v>1612500</x:v>
      </x:c>
      <x:c r="F70" s="31" t="n">
        <x:v>1602772.7272727273</x:v>
      </x:c>
      <x:c r="G70" s="31" t="n">
        <x:v>42907.954545454544</x:v>
      </x:c>
    </x:row>
    <x:row r="71">
      <x:c r="A71" s="31" t="str">
        <x:v>Jeep</x:v>
      </x:c>
      <x:c r="B71" s="31" t="str">
        <x:v>3-5 years</x:v>
      </x:c>
      <x:c r="C71" s="31" t="str">
        <x:v>Petrol</x:v>
      </x:c>
      <x:c r="D71" s="31" t="n">
        <x:v>10</x:v>
      </x:c>
      <x:c r="E71" s="31" t="n">
        <x:v>1485500</x:v>
      </x:c>
      <x:c r="F71" s="31" t="n">
        <x:v>1816300</x:v>
      </x:c>
      <x:c r="G71" s="31" t="n">
        <x:v>23470.1</x:v>
      </x:c>
    </x:row>
    <x:row r="72">
      <x:c r="A72" s="31" t="str">
        <x:v>Kia</x:v>
      </x:c>
      <x:c r="B72" s="31" t="str">
        <x:v>0-2 years</x:v>
      </x:c>
      <x:c r="C72" s="31" t="str">
        <x:v>Diesel</x:v>
      </x:c>
      <x:c r="D72" s="31" t="n">
        <x:v>14</x:v>
      </x:c>
      <x:c r="E72" s="31" t="n">
        <x:v>1742500</x:v>
      </x:c>
      <x:c r="F72" s="31" t="n">
        <x:v>2071357.142857143</x:v>
      </x:c>
      <x:c r="G72" s="31" t="n">
        <x:v>9607.142857142857</x:v>
      </x:c>
    </x:row>
    <x:row r="73">
      <x:c r="A73" s="31" t="str">
        <x:v>Kia</x:v>
      </x:c>
      <x:c r="B73" s="31" t="str">
        <x:v>0-2 years</x:v>
      </x:c>
      <x:c r="C73" s="31" t="str">
        <x:v>Petrol</x:v>
      </x:c>
      <x:c r="D73" s="31" t="n">
        <x:v>18</x:v>
      </x:c>
      <x:c r="E73" s="31" t="n">
        <x:v>1457500</x:v>
      </x:c>
      <x:c r="F73" s="31" t="n">
        <x:v>1473833.3333333333</x:v>
      </x:c>
      <x:c r="G73" s="31" t="n">
        <x:v>8981.888888888889</x:v>
      </x:c>
    </x:row>
    <x:row r="74">
      <x:c r="A74" s="31" t="str">
        <x:v>Land Rover</x:v>
      </x:c>
      <x:c r="B74" s="31" t="str">
        <x:v>0-2 years</x:v>
      </x:c>
      <x:c r="C74" s="31" t="str">
        <x:v>Diesel</x:v>
      </x:c>
      <x:c r="D74" s="31" t="n">
        <x:v>4</x:v>
      </x:c>
      <x:c r="E74" s="31" t="n">
        <x:v>4625000</x:v>
      </x:c>
      <x:c r="F74" s="31" t="n">
        <x:v>5056250</x:v>
      </x:c>
      <x:c r="G74" s="31" t="n">
        <x:v>13275</x:v>
      </x:c>
    </x:row>
    <x:row r="75">
      <x:c r="A75" s="31" t="str">
        <x:v>Land Rover</x:v>
      </x:c>
      <x:c r="B75" s="31" t="str">
        <x:v>3-5 years</x:v>
      </x:c>
      <x:c r="C75" s="31" t="str">
        <x:v>Diesel</x:v>
      </x:c>
      <x:c r="D75" s="31" t="n">
        <x:v>18</x:v>
      </x:c>
      <x:c r="E75" s="31" t="n">
        <x:v>3875000</x:v>
      </x:c>
      <x:c r="F75" s="31" t="n">
        <x:v>4052777.777777778</x:v>
      </x:c>
      <x:c r="G75" s="31" t="n">
        <x:v>61416.11111111111</x:v>
      </x:c>
    </x:row>
    <x:row r="76">
      <x:c r="A76" s="31" t="str">
        <x:v>Land Rover</x:v>
      </x:c>
      <x:c r="B76" s="31" t="str">
        <x:v>3-5 years</x:v>
      </x:c>
      <x:c r="C76" s="31" t="str">
        <x:v>Petrol</x:v>
      </x:c>
      <x:c r="D76" s="31" t="n">
        <x:v>3</x:v>
      </x:c>
      <x:c r="E76" s="31" t="n">
        <x:v>6200000</x:v>
      </x:c>
      <x:c r="F76" s="31" t="n">
        <x:v>5363333.333333333</x:v>
      </x:c>
      <x:c r="G76" s="31" t="n">
        <x:v>31333.333333333332</x:v>
      </x:c>
    </x:row>
    <x:row r="77">
      <x:c r="A77" s="31" t="str">
        <x:v>Land Rover</x:v>
      </x:c>
      <x:c r="B77" s="31" t="str">
        <x:v>6-8 years</x:v>
      </x:c>
      <x:c r="C77" s="31" t="str">
        <x:v>Diesel</x:v>
      </x:c>
      <x:c r="D77" s="31" t="n">
        <x:v>12</x:v>
      </x:c>
      <x:c r="E77" s="31" t="n">
        <x:v>4300000</x:v>
      </x:c>
      <x:c r="F77" s="31" t="n">
        <x:v>4142916.6666666665</x:v>
      </x:c>
      <x:c r="G77" s="31" t="n">
        <x:v>67916.66666666667</x:v>
      </x:c>
    </x:row>
    <x:row r="78">
      <x:c r="A78" s="31" t="str">
        <x:v>Land Rover</x:v>
      </x:c>
      <x:c r="B78" s="31" t="str">
        <x:v>9-12 years</x:v>
      </x:c>
      <x:c r="C78" s="31" t="str">
        <x:v>Diesel</x:v>
      </x:c>
      <x:c r="D78" s="31" t="n">
        <x:v>13</x:v>
      </x:c>
      <x:c r="E78" s="31" t="n">
        <x:v>2500000</x:v>
      </x:c>
      <x:c r="F78" s="31" t="n">
        <x:v>2566461.5384615385</x:v>
      </x:c>
      <x:c r="G78" s="31" t="n">
        <x:v>94319.07692307692</x:v>
      </x:c>
    </x:row>
    <x:row r="79">
      <x:c r="A79" s="31" t="str">
        <x:v>Lexus</x:v>
      </x:c>
      <x:c r="B79" s="31" t="str">
        <x:v>0-2 years</x:v>
      </x:c>
      <x:c r="C79" s="31" t="str">
        <x:v>Petrol</x:v>
      </x:c>
      <x:c r="D79" s="31" t="n">
        <x:v>1</x:v>
      </x:c>
      <x:c r="E79" s="31" t="n">
        <x:v>5375000</x:v>
      </x:c>
      <x:c r="F79" s="31" t="n">
        <x:v>5375000</x:v>
      </x:c>
      <x:c r="G79" s="31" t="n">
        <x:v>14000</x:v>
      </x:c>
    </x:row>
    <x:row r="80">
      <x:c r="A80" s="31" t="str">
        <x:v>Lexus</x:v>
      </x:c>
      <x:c r="B80" s="31" t="str">
        <x:v>3-5 years</x:v>
      </x:c>
      <x:c r="C80" s="31" t="str">
        <x:v>Petrol</x:v>
      </x:c>
      <x:c r="D80" s="31" t="n">
        <x:v>8</x:v>
      </x:c>
      <x:c r="E80" s="31" t="n">
        <x:v>4600000</x:v>
      </x:c>
      <x:c r="F80" s="31" t="n">
        <x:v>5248750</x:v>
      </x:c>
      <x:c r="G80" s="31" t="n">
        <x:v>29986.75</x:v>
      </x:c>
    </x:row>
    <x:row r="81">
      <x:c r="A81" s="31" t="str">
        <x:v>MG</x:v>
      </x:c>
      <x:c r="B81" s="31" t="str">
        <x:v>0-2 years</x:v>
      </x:c>
      <x:c r="C81" s="31" t="str">
        <x:v>Diesel</x:v>
      </x:c>
      <x:c r="D81" s="31" t="n">
        <x:v>7</x:v>
      </x:c>
      <x:c r="E81" s="31" t="n">
        <x:v>1750000</x:v>
      </x:c>
      <x:c r="F81" s="31" t="n">
        <x:v>1793428.5714285714</x:v>
      </x:c>
      <x:c r="G81" s="31" t="n">
        <x:v>19115.571428571428</x:v>
      </x:c>
    </x:row>
    <x:row r="82">
      <x:c r="A82" s="31" t="str">
        <x:v>MG</x:v>
      </x:c>
      <x:c r="B82" s="31" t="str">
        <x:v>0-2 years</x:v>
      </x:c>
      <x:c r="C82" s="31" t="str">
        <x:v>Petrol</x:v>
      </x:c>
      <x:c r="D82" s="31" t="n">
        <x:v>12</x:v>
      </x:c>
      <x:c r="E82" s="31" t="n">
        <x:v>1769500</x:v>
      </x:c>
      <x:c r="F82" s="31" t="n">
        <x:v>1729333.3333333333</x:v>
      </x:c>
      <x:c r="G82" s="31" t="n">
        <x:v>7118.833333333333</x:v>
      </x:c>
    </x:row>
    <x:row r="83">
      <x:c r="A83" s="31" t="str">
        <x:v>Mahindra</x:v>
      </x:c>
      <x:c r="B83" s="31" t="str">
        <x:v>0-2 years</x:v>
      </x:c>
      <x:c r="C83" s="31" t="str">
        <x:v>Diesel</x:v>
      </x:c>
      <x:c r="D83" s="31" t="n">
        <x:v>81</x:v>
      </x:c>
      <x:c r="E83" s="31" t="n">
        <x:v>1000000</x:v>
      </x:c>
      <x:c r="F83" s="31" t="n">
        <x:v>1135580.2469135802</x:v>
      </x:c>
      <x:c r="G83" s="31" t="n">
        <x:v>27386.037037037036</x:v>
      </x:c>
    </x:row>
    <x:row r="84">
      <x:c r="A84" s="31" t="str">
        <x:v>Mahindra</x:v>
      </x:c>
      <x:c r="B84" s="31" t="str">
        <x:v>0-2 years</x:v>
      </x:c>
      <x:c r="C84" s="31" t="str">
        <x:v>Petrol</x:v>
      </x:c>
      <x:c r="D84" s="31" t="n">
        <x:v>13</x:v>
      </x:c>
      <x:c r="E84" s="31" t="n">
        <x:v>950000</x:v>
      </x:c>
      <x:c r="F84" s="31" t="n">
        <x:v>886538.4615384615</x:v>
      </x:c>
      <x:c r="G84" s="31" t="n">
        <x:v>16874.923076923078</x:v>
      </x:c>
    </x:row>
    <x:row r="85">
      <x:c r="A85" s="31" t="str">
        <x:v>Mahindra</x:v>
      </x:c>
      <x:c r="B85" s="31" t="str">
        <x:v>13+ years</x:v>
      </x:c>
      <x:c r="C85" s="31" t="str">
        <x:v>Diesel</x:v>
      </x:c>
      <x:c r="D85" s="31" t="n">
        <x:v>38</x:v>
      </x:c>
      <x:c r="E85" s="31" t="n">
        <x:v>262500</x:v>
      </x:c>
      <x:c r="F85" s="31" t="n">
        <x:v>268631.5789473684</x:v>
      </x:c>
      <x:c r="G85" s="31" t="n">
        <x:v>131267.2105263158</x:v>
      </x:c>
    </x:row>
    <x:row r="86">
      <x:c r="A86" s="31" t="str">
        <x:v>Mahindra</x:v>
      </x:c>
      <x:c r="B86" s="31" t="str">
        <x:v>3-5 years</x:v>
      </x:c>
      <x:c r="C86" s="31" t="str">
        <x:v>CNG</x:v>
      </x:c>
      <x:c r="D86" s="31" t="n">
        <x:v>1</x:v>
      </x:c>
      <x:c r="E86" s="31" t="n">
        <x:v>400000</x:v>
      </x:c>
      <x:c r="F86" s="31" t="n">
        <x:v>400000</x:v>
      </x:c>
      <x:c r="G86" s="31" t="n">
        <x:v>50000</x:v>
      </x:c>
    </x:row>
    <x:row r="87">
      <x:c r="A87" s="31" t="str">
        <x:v>Mahindra</x:v>
      </x:c>
      <x:c r="B87" s="31" t="str">
        <x:v>3-5 years</x:v>
      </x:c>
      <x:c r="C87" s="31" t="str">
        <x:v>Diesel</x:v>
      </x:c>
      <x:c r="D87" s="31" t="n">
        <x:v>344</x:v>
      </x:c>
      <x:c r="E87" s="31" t="n">
        <x:v>975000</x:v>
      </x:c>
      <x:c r="F87" s="31" t="n">
        <x:v>985531.976744186</x:v>
      </x:c>
      <x:c r="G87" s="31" t="n">
        <x:v>64700.436046511626</x:v>
      </x:c>
    </x:row>
    <x:row r="88">
      <x:c r="A88" s="31" t="str">
        <x:v>Mahindra</x:v>
      </x:c>
      <x:c r="B88" s="31" t="str">
        <x:v>3-5 years</x:v>
      </x:c>
      <x:c r="C88" s="31" t="str">
        <x:v>Petrol</x:v>
      </x:c>
      <x:c r="D88" s="31" t="n">
        <x:v>40</x:v>
      </x:c>
      <x:c r="E88" s="31" t="n">
        <x:v>405000</x:v>
      </x:c>
      <x:c r="F88" s="31" t="n">
        <x:v>426450</x:v>
      </x:c>
      <x:c r="G88" s="31" t="n">
        <x:v>33025.4</x:v>
      </x:c>
    </x:row>
    <x:row r="89">
      <x:c r="A89" s="31" t="str">
        <x:v>Mahindra</x:v>
      </x:c>
      <x:c r="B89" s="31" t="str">
        <x:v>6-8 years</x:v>
      </x:c>
      <x:c r="C89" s="31" t="str">
        <x:v>Diesel</x:v>
      </x:c>
      <x:c r="D89" s="31" t="n">
        <x:v>333</x:v>
      </x:c>
      <x:c r="E89" s="31" t="n">
        <x:v>700000</x:v>
      </x:c>
      <x:c r="F89" s="31" t="n">
        <x:v>733513.5135135135</x:v>
      </x:c>
      <x:c r="G89" s="31" t="n">
        <x:v>82916.76876876877</x:v>
      </x:c>
    </x:row>
    <x:row r="90">
      <x:c r="A90" s="31" t="str">
        <x:v>Mahindra</x:v>
      </x:c>
      <x:c r="B90" s="31" t="str">
        <x:v>9-12 years</x:v>
      </x:c>
      <x:c r="C90" s="31" t="str">
        <x:v>Diesel</x:v>
      </x:c>
      <x:c r="D90" s="31" t="n">
        <x:v>149</x:v>
      </x:c>
      <x:c r="E90" s="31" t="n">
        <x:v>475000</x:v>
      </x:c>
      <x:c r="F90" s="31" t="n">
        <x:v>492409.39597315434</x:v>
      </x:c>
      <x:c r="G90" s="31" t="n">
        <x:v>96224.58389261745</x:v>
      </x:c>
    </x:row>
    <x:row r="91">
      <x:c r="A91" s="31" t="str">
        <x:v>Maruti</x:v>
      </x:c>
      <x:c r="B91" s="31" t="str">
        <x:v>0-2 years</x:v>
      </x:c>
      <x:c r="C91" s="31" t="str">
        <x:v>CNG</x:v>
      </x:c>
      <x:c r="D91" s="31" t="n">
        <x:v>16</x:v>
      </x:c>
      <x:c r="E91" s="31" t="n">
        <x:v>472500</x:v>
      </x:c>
      <x:c r="F91" s="31" t="n">
        <x:v>546000</x:v>
      </x:c>
      <x:c r="G91" s="31" t="n">
        <x:v>29932.625</x:v>
      </x:c>
    </x:row>
    <x:row r="92">
      <x:c r="A92" s="31" t="str">
        <x:v>Maruti</x:v>
      </x:c>
      <x:c r="B92" s="31" t="str">
        <x:v>0-2 years</x:v>
      </x:c>
      <x:c r="C92" s="31" t="str">
        <x:v>Diesel</x:v>
      </x:c>
      <x:c r="D92" s="31" t="n">
        <x:v>84</x:v>
      </x:c>
      <x:c r="E92" s="31" t="n">
        <x:v>892500</x:v>
      </x:c>
      <x:c r="F92" s="31" t="n">
        <x:v>878916.6666666666</x:v>
      </x:c>
      <x:c r="G92" s="31" t="n">
        <x:v>25731.321428571428</x:v>
      </x:c>
    </x:row>
    <x:row r="93">
      <x:c r="A93" s="31" t="str">
        <x:v>Maruti</x:v>
      </x:c>
      <x:c r="B93" s="31" t="str">
        <x:v>0-2 years</x:v>
      </x:c>
      <x:c r="C93" s="31" t="str">
        <x:v>Petrol</x:v>
      </x:c>
      <x:c r="D93" s="31" t="n">
        <x:v>324</x:v>
      </x:c>
      <x:c r="E93" s="31" t="n">
        <x:v>595000</x:v>
      </x:c>
      <x:c r="F93" s="31" t="n">
        <x:v>611003.086419753</x:v>
      </x:c>
      <x:c r="G93" s="31" t="n">
        <x:v>15281.839506172839</x:v>
      </x:c>
    </x:row>
    <x:row r="94">
      <x:c r="A94" s="31" t="str">
        <x:v>Maruti</x:v>
      </x:c>
      <x:c r="B94" s="31" t="str">
        <x:v>13+ years</x:v>
      </x:c>
      <x:c r="C94" s="31" t="str">
        <x:v>CNG</x:v>
      </x:c>
      <x:c r="D94" s="31" t="n">
        <x:v>1</x:v>
      </x:c>
      <x:c r="E94" s="31" t="n">
        <x:v>219000</x:v>
      </x:c>
      <x:c r="F94" s="31" t="n">
        <x:v>219000</x:v>
      </x:c>
      <x:c r="G94" s="31" t="n">
        <x:v>105379</x:v>
      </x:c>
    </x:row>
    <x:row r="95">
      <x:c r="A95" s="31" t="str">
        <x:v>Maruti</x:v>
      </x:c>
      <x:c r="B95" s="31" t="str">
        <x:v>13+ years</x:v>
      </x:c>
      <x:c r="C95" s="31" t="str">
        <x:v>Diesel</x:v>
      </x:c>
      <x:c r="D95" s="31" t="n">
        <x:v>29</x:v>
      </x:c>
      <x:c r="E95" s="31" t="n">
        <x:v>280000</x:v>
      </x:c>
      <x:c r="F95" s="31" t="n">
        <x:v>263413.7931034483</x:v>
      </x:c>
      <x:c r="G95" s="31" t="n">
        <x:v>95237.3448275862</x:v>
      </x:c>
    </x:row>
    <x:row r="96">
      <x:c r="A96" s="31" t="str">
        <x:v>Maruti</x:v>
      </x:c>
      <x:c r="B96" s="31" t="str">
        <x:v>13+ years</x:v>
      </x:c>
      <x:c r="C96" s="31" t="str">
        <x:v>LPG</x:v>
      </x:c>
      <x:c r="D96" s="31" t="n">
        <x:v>13</x:v>
      </x:c>
      <x:c r="E96" s="31" t="n">
        <x:v>125000</x:v>
      </x:c>
      <x:c r="F96" s="31" t="n">
        <x:v>132076.92307692306</x:v>
      </x:c>
      <x:c r="G96" s="31" t="n">
        <x:v>84167.69230769231</x:v>
      </x:c>
    </x:row>
    <x:row r="97">
      <x:c r="A97" s="31" t="str">
        <x:v>Maruti</x:v>
      </x:c>
      <x:c r="B97" s="31" t="str">
        <x:v>13+ years</x:v>
      </x:c>
      <x:c r="C97" s="31" t="str">
        <x:v>Petrol</x:v>
      </x:c>
      <x:c r="D97" s="31" t="n">
        <x:v>189</x:v>
      </x:c>
      <x:c r="E97" s="31" t="n">
        <x:v>120000</x:v>
      </x:c>
      <x:c r="F97" s="31" t="n">
        <x:v>124539.02116402116</x:v>
      </x:c>
      <x:c r="G97" s="31" t="n">
        <x:v>70857.49206349206</x:v>
      </x:c>
    </x:row>
    <x:row r="98">
      <x:c r="A98" s="31" t="str">
        <x:v>Maruti</x:v>
      </x:c>
      <x:c r="B98" s="31" t="str">
        <x:v>3-5 years</x:v>
      </x:c>
      <x:c r="C98" s="31" t="str">
        <x:v>CNG</x:v>
      </x:c>
      <x:c r="D98" s="31" t="n">
        <x:v>138</x:v>
      </x:c>
      <x:c r="E98" s="31" t="n">
        <x:v>395000</x:v>
      </x:c>
      <x:c r="F98" s="31" t="n">
        <x:v>461608.6956521739</x:v>
      </x:c>
      <x:c r="G98" s="31" t="n">
        <x:v>48749.036231884056</x:v>
      </x:c>
    </x:row>
    <x:row r="99">
      <x:c r="A99" s="31" t="str">
        <x:v>Maruti</x:v>
      </x:c>
      <x:c r="B99" s="31" t="str">
        <x:v>3-5 years</x:v>
      </x:c>
      <x:c r="C99" s="31" t="str">
        <x:v>Diesel</x:v>
      </x:c>
      <x:c r="D99" s="31" t="n">
        <x:v>842</x:v>
      </x:c>
      <x:c r="E99" s="31" t="n">
        <x:v>720000</x:v>
      </x:c>
      <x:c r="F99" s="31" t="n">
        <x:v>721534.4418052257</x:v>
      </x:c>
      <x:c r="G99" s="31" t="n">
        <x:v>57272.19239904988</x:v>
      </x:c>
    </x:row>
    <x:row r="100">
      <x:c r="A100" s="31" t="str">
        <x:v>Maruti</x:v>
      </x:c>
      <x:c r="B100" s="31" t="str">
        <x:v>3-5 years</x:v>
      </x:c>
      <x:c r="C100" s="31" t="str">
        <x:v>Petrol</x:v>
      </x:c>
      <x:c r="D100" s="31" t="n">
        <x:v>1233</x:v>
      </x:c>
      <x:c r="E100" s="31" t="n">
        <x:v>509000</x:v>
      </x:c>
      <x:c r="F100" s="31" t="n">
        <x:v>520522.30332522304</x:v>
      </x:c>
      <x:c r="G100" s="31" t="n">
        <x:v>34660.9197080292</x:v>
      </x:c>
    </x:row>
    <x:row r="101">
      <x:c r="A101" s="31" t="str">
        <x:v>Maruti</x:v>
      </x:c>
      <x:c r="B101" s="31" t="str">
        <x:v>6-8 years</x:v>
      </x:c>
      <x:c r="C101" s="31" t="str">
        <x:v>CNG</x:v>
      </x:c>
      <x:c r="D101" s="31" t="n">
        <x:v>98</x:v>
      </x:c>
      <x:c r="E101" s="31" t="n">
        <x:v>340000</x:v>
      </x:c>
      <x:c r="F101" s="31" t="n">
        <x:v>385316.32653061225</x:v>
      </x:c>
      <x:c r="G101" s="31" t="n">
        <x:v>62291.56122448979</x:v>
      </x:c>
    </x:row>
    <x:row r="102">
      <x:c r="A102" s="31" t="str">
        <x:v>Maruti</x:v>
      </x:c>
      <x:c r="B102" s="31" t="str">
        <x:v>6-8 years</x:v>
      </x:c>
      <x:c r="C102" s="31" t="str">
        <x:v>Diesel</x:v>
      </x:c>
      <x:c r="D102" s="31" t="n">
        <x:v>525</x:v>
      </x:c>
      <x:c r="E102" s="31" t="n">
        <x:v>500000</x:v>
      </x:c>
      <x:c r="F102" s="31" t="n">
        <x:v>509011.4285714286</x:v>
      </x:c>
      <x:c r="G102" s="31" t="n">
        <x:v>75960.52952380953</x:v>
      </x:c>
    </x:row>
    <x:row r="103">
      <x:c r="A103" s="31" t="str">
        <x:v>Maruti</x:v>
      </x:c>
      <x:c r="B103" s="31" t="str">
        <x:v>6-8 years</x:v>
      </x:c>
      <x:c r="C103" s="31" t="str">
        <x:v>LPG</x:v>
      </x:c>
      <x:c r="D103" s="31" t="n">
        <x:v>3</x:v>
      </x:c>
      <x:c r="E103" s="31" t="n">
        <x:v>350000</x:v>
      </x:c>
      <x:c r="F103" s="31" t="n">
        <x:v>325000</x:v>
      </x:c>
      <x:c r="G103" s="31" t="n">
        <x:v>59000</x:v>
      </x:c>
    </x:row>
    <x:row r="104">
      <x:c r="A104" s="31" t="str">
        <x:v>Maruti</x:v>
      </x:c>
      <x:c r="B104" s="31" t="str">
        <x:v>6-8 years</x:v>
      </x:c>
      <x:c r="C104" s="31" t="str">
        <x:v>Petrol</x:v>
      </x:c>
      <x:c r="D104" s="31" t="n">
        <x:v>733</x:v>
      </x:c>
      <x:c r="E104" s="31" t="n">
        <x:v>361000</x:v>
      </x:c>
      <x:c r="F104" s="31" t="n">
        <x:v>375346.52114597545</x:v>
      </x:c>
      <x:c r="G104" s="31" t="n">
        <x:v>49185.836289222374</x:v>
      </x:c>
    </x:row>
    <x:row r="105">
      <x:c r="A105" s="31" t="str">
        <x:v>Maruti</x:v>
      </x:c>
      <x:c r="B105" s="31" t="str">
        <x:v>9-12 years</x:v>
      </x:c>
      <x:c r="C105" s="31" t="str">
        <x:v>CNG</x:v>
      </x:c>
      <x:c r="D105" s="31" t="n">
        <x:v>29</x:v>
      </x:c>
      <x:c r="E105" s="31" t="n">
        <x:v>220000</x:v>
      </x:c>
      <x:c r="F105" s="31" t="n">
        <x:v>225586.2068965517</x:v>
      </x:c>
      <x:c r="G105" s="31" t="n">
        <x:v>67335.79310344828</x:v>
      </x:c>
    </x:row>
    <x:row r="106">
      <x:c r="A106" s="31" t="str">
        <x:v>Maruti</x:v>
      </x:c>
      <x:c r="B106" s="31" t="str">
        <x:v>9-12 years</x:v>
      </x:c>
      <x:c r="C106" s="31" t="str">
        <x:v>Diesel</x:v>
      </x:c>
      <x:c r="D106" s="31" t="n">
        <x:v>193</x:v>
      </x:c>
      <x:c r="E106" s="31" t="n">
        <x:v>370000</x:v>
      </x:c>
      <x:c r="F106" s="31" t="n">
        <x:v>375979.274611399</x:v>
      </x:c>
      <x:c r="G106" s="31" t="n">
        <x:v>89080.71502590674</x:v>
      </x:c>
    </x:row>
    <x:row r="107">
      <x:c r="A107" s="31" t="str">
        <x:v>Maruti</x:v>
      </x:c>
      <x:c r="B107" s="31" t="str">
        <x:v>9-12 years</x:v>
      </x:c>
      <x:c r="C107" s="31" t="str">
        <x:v>LPG</x:v>
      </x:c>
      <x:c r="D107" s="31" t="n">
        <x:v>15</x:v>
      </x:c>
      <x:c r="E107" s="31" t="n">
        <x:v>233000</x:v>
      </x:c>
      <x:c r="F107" s="31" t="n">
        <x:v>210866.66666666666</x:v>
      </x:c>
      <x:c r="G107" s="31" t="n">
        <x:v>78806.4</x:v>
      </x:c>
    </x:row>
    <x:row r="108">
      <x:c r="A108" s="31" t="str">
        <x:v>Maruti</x:v>
      </x:c>
      <x:c r="B108" s="31" t="str">
        <x:v>9-12 years</x:v>
      </x:c>
      <x:c r="C108" s="31" t="str">
        <x:v>Petrol</x:v>
      </x:c>
      <x:c r="D108" s="31" t="n">
        <x:v>468</x:v>
      </x:c>
      <x:c r="E108" s="31" t="n">
        <x:v>235000</x:v>
      </x:c>
      <x:c r="F108" s="31" t="n">
        <x:v>239856.8376068376</x:v>
      </x:c>
      <x:c r="G108" s="31" t="n">
        <x:v>60503.92307692308</x:v>
      </x:c>
    </x:row>
    <x:row r="109">
      <x:c r="A109" s="31" t="str">
        <x:v>Maserati</x:v>
      </x:c>
      <x:c r="B109" s="31" t="str">
        <x:v>3-5 years</x:v>
      </x:c>
      <x:c r="C109" s="31" t="str">
        <x:v>Diesel</x:v>
      </x:c>
      <x:c r="D109" s="31" t="n">
        <x:v>2</x:v>
      </x:c>
      <x:c r="E109" s="31" t="n">
        <x:v>6100000</x:v>
      </x:c>
      <x:c r="F109" s="31" t="n">
        <x:v>6100000</x:v>
      </x:c>
      <x:c r="G109" s="31" t="n">
        <x:v>12250</x:v>
      </x:c>
    </x:row>
    <x:row r="110">
      <x:c r="A110" s="31" t="str">
        <x:v>Mercedes-AMG</x:v>
      </x:c>
      <x:c r="B110" s="31" t="str">
        <x:v>3-5 years</x:v>
      </x:c>
      <x:c r="C110" s="31" t="str">
        <x:v>Petrol</x:v>
      </x:c>
      <x:c r="D110" s="31" t="n">
        <x:v>1</x:v>
      </x:c>
      <x:c r="E110" s="31" t="n">
        <x:v>5100000</x:v>
      </x:c>
      <x:c r="F110" s="31" t="n">
        <x:v>5100000</x:v>
      </x:c>
      <x:c r="G110" s="31" t="n">
        <x:v>24000</x:v>
      </x:c>
    </x:row>
    <x:row r="111">
      <x:c r="A111" s="31" t="str">
        <x:v>Mercedes-Benz</x:v>
      </x:c>
      <x:c r="B111" s="31" t="str">
        <x:v>0-2 years</x:v>
      </x:c>
      <x:c r="C111" s="31" t="str">
        <x:v>Diesel</x:v>
      </x:c>
      <x:c r="D111" s="31" t="n">
        <x:v>6</x:v>
      </x:c>
      <x:c r="E111" s="31" t="n">
        <x:v>4637500</x:v>
      </x:c>
      <x:c r="F111" s="31" t="n">
        <x:v>5037500</x:v>
      </x:c>
      <x:c r="G111" s="31" t="n">
        <x:v>8833.333333333334</x:v>
      </x:c>
    </x:row>
    <x:row r="112">
      <x:c r="A112" s="31" t="str">
        <x:v>Mercedes-Benz</x:v>
      </x:c>
      <x:c r="B112" s="31" t="str">
        <x:v>0-2 years</x:v>
      </x:c>
      <x:c r="C112" s="31" t="str">
        <x:v>Petrol</x:v>
      </x:c>
      <x:c r="D112" s="31" t="n">
        <x:v>3</x:v>
      </x:c>
      <x:c r="E112" s="31" t="n">
        <x:v>4800000</x:v>
      </x:c>
      <x:c r="F112" s="31" t="n">
        <x:v>6525000</x:v>
      </x:c>
      <x:c r="G112" s="31" t="n">
        <x:v>15433.333333333334</x:v>
      </x:c>
    </x:row>
    <x:row r="113">
      <x:c r="A113" s="31" t="str">
        <x:v>Mercedes-Benz</x:v>
      </x:c>
      <x:c r="B113" s="31" t="str">
        <x:v>13+ years</x:v>
      </x:c>
      <x:c r="C113" s="31" t="str">
        <x:v>Diesel</x:v>
      </x:c>
      <x:c r="D113" s="31" t="n">
        <x:v>8</x:v>
      </x:c>
      <x:c r="E113" s="31" t="n">
        <x:v>712500</x:v>
      </x:c>
      <x:c r="F113" s="31" t="n">
        <x:v>723125</x:v>
      </x:c>
      <x:c r="G113" s="31" t="n">
        <x:v>80496.25</x:v>
      </x:c>
    </x:row>
    <x:row r="114">
      <x:c r="A114" s="31" t="str">
        <x:v>Mercedes-Benz</x:v>
      </x:c>
      <x:c r="B114" s="31" t="str">
        <x:v>13+ years</x:v>
      </x:c>
      <x:c r="C114" s="31" t="str">
        <x:v>Petrol</x:v>
      </x:c>
      <x:c r="D114" s="31" t="n">
        <x:v>10</x:v>
      </x:c>
      <x:c r="E114" s="31" t="n">
        <x:v>562500</x:v>
      </x:c>
      <x:c r="F114" s="31" t="n">
        <x:v>686000</x:v>
      </x:c>
      <x:c r="G114" s="31" t="n">
        <x:v>72682.4</x:v>
      </x:c>
    </x:row>
    <x:row r="115">
      <x:c r="A115" s="31" t="str">
        <x:v>Mercedes-Benz</x:v>
      </x:c>
      <x:c r="B115" s="31" t="str">
        <x:v>3-5 years</x:v>
      </x:c>
      <x:c r="C115" s="31" t="str">
        <x:v>Diesel</x:v>
      </x:c>
      <x:c r="D115" s="31" t="n">
        <x:v>62</x:v>
      </x:c>
      <x:c r="E115" s="31" t="n">
        <x:v>3800000</x:v>
      </x:c>
      <x:c r="F115" s="31" t="n">
        <x:v>4129806.4516129033</x:v>
      </x:c>
      <x:c r="G115" s="31" t="n">
        <x:v>34397.43548387097</x:v>
      </x:c>
    </x:row>
    <x:row r="116">
      <x:c r="A116" s="31" t="str">
        <x:v>Mercedes-Benz</x:v>
      </x:c>
      <x:c r="B116" s="31" t="str">
        <x:v>3-5 years</x:v>
      </x:c>
      <x:c r="C116" s="31" t="str">
        <x:v>Petrol</x:v>
      </x:c>
      <x:c r="D116" s="31" t="n">
        <x:v>19</x:v>
      </x:c>
      <x:c r="E116" s="31" t="n">
        <x:v>4100000</x:v>
      </x:c>
      <x:c r="F116" s="31" t="n">
        <x:v>5445947.368421053</x:v>
      </x:c>
      <x:c r="G116" s="31" t="n">
        <x:v>23837.947368421053</x:v>
      </x:c>
    </x:row>
    <x:row r="117">
      <x:c r="A117" s="31" t="str">
        <x:v>Mercedes-Benz</x:v>
      </x:c>
      <x:c r="B117" s="31" t="str">
        <x:v>6-8 years</x:v>
      </x:c>
      <x:c r="C117" s="31" t="str">
        <x:v>Diesel</x:v>
      </x:c>
      <x:c r="D117" s="31" t="n">
        <x:v>95</x:v>
      </x:c>
      <x:c r="E117" s="31" t="n">
        <x:v>2050000</x:v>
      </x:c>
      <x:c r="F117" s="31" t="n">
        <x:v>2341589.4736842103</x:v>
      </x:c>
      <x:c r="G117" s="31" t="n">
        <x:v>61591.96842105263</x:v>
      </x:c>
    </x:row>
    <x:row r="118">
      <x:c r="A118" s="31" t="str">
        <x:v>Mercedes-Benz</x:v>
      </x:c>
      <x:c r="B118" s="31" t="str">
        <x:v>6-8 years</x:v>
      </x:c>
      <x:c r="C118" s="31" t="str">
        <x:v>Petrol</x:v>
      </x:c>
      <x:c r="D118" s="31" t="n">
        <x:v>14</x:v>
      </x:c>
      <x:c r="E118" s="31" t="n">
        <x:v>1975000</x:v>
      </x:c>
      <x:c r="F118" s="31" t="n">
        <x:v>2397500</x:v>
      </x:c>
      <x:c r="G118" s="31" t="n">
        <x:v>44265.21428571428</x:v>
      </x:c>
    </x:row>
    <x:row r="119">
      <x:c r="A119" s="31" t="str">
        <x:v>Mercedes-Benz</x:v>
      </x:c>
      <x:c r="B119" s="31" t="str">
        <x:v>9-12 years</x:v>
      </x:c>
      <x:c r="C119" s="31" t="str">
        <x:v>Diesel</x:v>
      </x:c>
      <x:c r="D119" s="31" t="n">
        <x:v>76</x:v>
      </x:c>
      <x:c r="E119" s="31" t="n">
        <x:v>1190000</x:v>
      </x:c>
      <x:c r="F119" s="31" t="n">
        <x:v>1307052.6315789474</x:v>
      </x:c>
      <x:c r="G119" s="31" t="n">
        <x:v>90104.93421052632</x:v>
      </x:c>
    </x:row>
    <x:row r="120">
      <x:c r="A120" s="31" t="str">
        <x:v>Mercedes-Benz</x:v>
      </x:c>
      <x:c r="B120" s="31" t="str">
        <x:v>9-12 years</x:v>
      </x:c>
      <x:c r="C120" s="31" t="str">
        <x:v>Petrol</x:v>
      </x:c>
      <x:c r="D120" s="31" t="n">
        <x:v>39</x:v>
      </x:c>
      <x:c r="E120" s="31" t="n">
        <x:v>1070000</x:v>
      </x:c>
      <x:c r="F120" s="31" t="n">
        <x:v>1182538.4615384615</x:v>
      </x:c>
      <x:c r="G120" s="31" t="n">
        <x:v>60769.02564102564</x:v>
      </x:c>
    </x:row>
    <x:row r="121">
      <x:c r="A121" s="31" t="str">
        <x:v>Mini</x:v>
      </x:c>
      <x:c r="B121" s="31" t="str">
        <x:v>3-5 years</x:v>
      </x:c>
      <x:c r="C121" s="31" t="str">
        <x:v>Diesel</x:v>
      </x:c>
      <x:c r="D121" s="31" t="n">
        <x:v>1</x:v>
      </x:c>
      <x:c r="E121" s="31" t="n">
        <x:v>3000000</x:v>
      </x:c>
      <x:c r="F121" s="31" t="n">
        <x:v>3000000</x:v>
      </x:c>
      <x:c r="G121" s="31" t="n">
        <x:v>10782</x:v>
      </x:c>
    </x:row>
    <x:row r="122">
      <x:c r="A122" s="31" t="str">
        <x:v>Mini</x:v>
      </x:c>
      <x:c r="B122" s="31" t="str">
        <x:v>3-5 years</x:v>
      </x:c>
      <x:c r="C122" s="31" t="str">
        <x:v>Petrol</x:v>
      </x:c>
      <x:c r="D122" s="31" t="n">
        <x:v>4</x:v>
      </x:c>
      <x:c r="E122" s="31" t="n">
        <x:v>3250000</x:v>
      </x:c>
      <x:c r="F122" s="31" t="n">
        <x:v>3393750</x:v>
      </x:c>
      <x:c r="G122" s="31" t="n">
        <x:v>10500</x:v>
      </x:c>
    </x:row>
    <x:row r="123">
      <x:c r="A123" s="31" t="str">
        <x:v>Mini</x:v>
      </x:c>
      <x:c r="B123" s="31" t="str">
        <x:v>6-8 years</x:v>
      </x:c>
      <x:c r="C123" s="31" t="str">
        <x:v>Diesel</x:v>
      </x:c>
      <x:c r="D123" s="31" t="n">
        <x:v>6</x:v>
      </x:c>
      <x:c r="E123" s="31" t="n">
        <x:v>1675000</x:v>
      </x:c>
      <x:c r="F123" s="31" t="n">
        <x:v>1677500</x:v>
      </x:c>
      <x:c r="G123" s="31" t="n">
        <x:v>43833.333333333336</x:v>
      </x:c>
    </x:row>
    <x:row r="124">
      <x:c r="A124" s="31" t="str">
        <x:v>Mini</x:v>
      </x:c>
      <x:c r="B124" s="31" t="str">
        <x:v>6-8 years</x:v>
      </x:c>
      <x:c r="C124" s="31" t="str">
        <x:v>Petrol</x:v>
      </x:c>
      <x:c r="D124" s="31" t="n">
        <x:v>3</x:v>
      </x:c>
      <x:c r="E124" s="31" t="n">
        <x:v>2000000</x:v>
      </x:c>
      <x:c r="F124" s="31" t="n">
        <x:v>2033333.3333333333</x:v>
      </x:c>
      <x:c r="G124" s="31" t="n">
        <x:v>34266.666666666664</x:v>
      </x:c>
    </x:row>
    <x:row r="125">
      <x:c r="A125" s="31" t="str">
        <x:v>Mini</x:v>
      </x:c>
      <x:c r="B125" s="31" t="str">
        <x:v>9-12 years</x:v>
      </x:c>
      <x:c r="C125" s="31" t="str">
        <x:v>Petrol</x:v>
      </x:c>
      <x:c r="D125" s="31" t="n">
        <x:v>3</x:v>
      </x:c>
      <x:c r="E125" s="31" t="n">
        <x:v>1325000</x:v>
      </x:c>
      <x:c r="F125" s="31" t="n">
        <x:v>1455000</x:v>
      </x:c>
      <x:c r="G125" s="31" t="n">
        <x:v>43000</x:v>
      </x:c>
    </x:row>
    <x:row r="126">
      <x:c r="A126" s="31" t="str">
        <x:v>Nissan</x:v>
      </x:c>
      <x:c r="B126" s="31" t="str">
        <x:v>0-2 years</x:v>
      </x:c>
      <x:c r="C126" s="31" t="str">
        <x:v>Diesel</x:v>
      </x:c>
      <x:c r="D126" s="31" t="n">
        <x:v>4</x:v>
      </x:c>
      <x:c r="E126" s="31" t="n">
        <x:v>1177000</x:v>
      </x:c>
      <x:c r="F126" s="31" t="n">
        <x:v>1163500</x:v>
      </x:c>
      <x:c r="G126" s="31" t="n">
        <x:v>15925</x:v>
      </x:c>
    </x:row>
    <x:row r="127">
      <x:c r="A127" s="31" t="str">
        <x:v>Nissan</x:v>
      </x:c>
      <x:c r="B127" s="31" t="str">
        <x:v>0-2 years</x:v>
      </x:c>
      <x:c r="C127" s="31" t="str">
        <x:v>Petrol</x:v>
      </x:c>
      <x:c r="D127" s="31" t="n">
        <x:v>4</x:v>
      </x:c>
      <x:c r="E127" s="31" t="n">
        <x:v>920000</x:v>
      </x:c>
      <x:c r="F127" s="31" t="n">
        <x:v>930000</x:v>
      </x:c>
      <x:c r="G127" s="31" t="n">
        <x:v>10171.75</x:v>
      </x:c>
    </x:row>
    <x:row r="128">
      <x:c r="A128" s="31" t="str">
        <x:v>Nissan</x:v>
      </x:c>
      <x:c r="B128" s="31" t="str">
        <x:v>9-12 years</x:v>
      </x:c>
      <x:c r="C128" s="31" t="str">
        <x:v>Diesel</x:v>
      </x:c>
      <x:c r="D128" s="31" t="n">
        <x:v>3</x:v>
      </x:c>
      <x:c r="E128" s="31" t="n">
        <x:v>595000</x:v>
      </x:c>
      <x:c r="F128" s="31" t="n">
        <x:v>711666.6666666666</x:v>
      </x:c>
      <x:c r="G128" s="31" t="n">
        <x:v>104000</x:v>
      </x:c>
    </x:row>
    <x:row r="129">
      <x:c r="A129" s="31" t="str">
        <x:v>Porsche</x:v>
      </x:c>
      <x:c r="B129" s="31" t="str">
        <x:v>3-5 years</x:v>
      </x:c>
      <x:c r="C129" s="31" t="str">
        <x:v>Diesel</x:v>
      </x:c>
      <x:c r="D129" s="31" t="n">
        <x:v>2</x:v>
      </x:c>
      <x:c r="E129" s="31" t="n">
        <x:v>6587500</x:v>
      </x:c>
      <x:c r="F129" s="31" t="n">
        <x:v>6587500</x:v>
      </x:c>
      <x:c r="G129" s="31" t="n">
        <x:v>42823</x:v>
      </x:c>
    </x:row>
    <x:row r="130">
      <x:c r="A130" s="31" t="str">
        <x:v>Porsche</x:v>
      </x:c>
      <x:c r="B130" s="31" t="str">
        <x:v>3-5 years</x:v>
      </x:c>
      <x:c r="C130" s="31" t="str">
        <x:v>Petrol</x:v>
      </x:c>
      <x:c r="D130" s="31" t="n">
        <x:v>4</x:v>
      </x:c>
      <x:c r="E130" s="31" t="n">
        <x:v>6897500</x:v>
      </x:c>
      <x:c r="F130" s="31" t="n">
        <x:v>7717500</x:v>
      </x:c>
      <x:c r="G130" s="31" t="n">
        <x:v>31087.5</x:v>
      </x:c>
    </x:row>
    <x:row r="131">
      <x:c r="A131" s="31" t="str">
        <x:v>Porsche</x:v>
      </x:c>
      <x:c r="B131" s="31" t="str">
        <x:v>6-8 years</x:v>
      </x:c>
      <x:c r="C131" s="31" t="str">
        <x:v>Diesel</x:v>
      </x:c>
      <x:c r="D131" s="31" t="n">
        <x:v>11</x:v>
      </x:c>
      <x:c r="E131" s="31" t="n">
        <x:v>4875000</x:v>
      </x:c>
      <x:c r="F131" s="31" t="n">
        <x:v>4705909.090909091</x:v>
      </x:c>
      <x:c r="G131" s="31" t="n">
        <x:v>63227.27272727273</x:v>
      </x:c>
    </x:row>
    <x:row r="132">
      <x:c r="A132" s="31" t="str">
        <x:v>Porsche</x:v>
      </x:c>
      <x:c r="B132" s="31" t="str">
        <x:v>9-12 years</x:v>
      </x:c>
      <x:c r="C132" s="31" t="str">
        <x:v>Diesel</x:v>
      </x:c>
      <x:c r="D132" s="31" t="n">
        <x:v>2</x:v>
      </x:c>
      <x:c r="E132" s="31" t="n">
        <x:v>3387500</x:v>
      </x:c>
      <x:c r="F132" s="31" t="n">
        <x:v>3387500</x:v>
      </x:c>
      <x:c r="G132" s="31" t="n">
        <x:v>84500</x:v>
      </x:c>
    </x:row>
    <x:row r="133">
      <x:c r="A133" s="31" t="str">
        <x:v>Porsche</x:v>
      </x:c>
      <x:c r="B133" s="31" t="str">
        <x:v>9-12 years</x:v>
      </x:c>
      <x:c r="C133" s="31" t="str">
        <x:v>Petrol</x:v>
      </x:c>
      <x:c r="D133" s="31" t="n">
        <x:v>2</x:v>
      </x:c>
      <x:c r="E133" s="31" t="n">
        <x:v>2900000</x:v>
      </x:c>
      <x:c r="F133" s="31" t="n">
        <x:v>2900000</x:v>
      </x:c>
      <x:c r="G133" s="31" t="n">
        <x:v>75500</x:v>
      </x:c>
    </x:row>
    <x:row r="134">
      <x:c r="A134" s="31" t="str">
        <x:v>Renault</x:v>
      </x:c>
      <x:c r="B134" s="31" t="str">
        <x:v>0-2 years</x:v>
      </x:c>
      <x:c r="C134" s="31" t="str">
        <x:v>Diesel</x:v>
      </x:c>
      <x:c r="D134" s="31" t="n">
        <x:v>2</x:v>
      </x:c>
      <x:c r="E134" s="31" t="n">
        <x:v>750000</x:v>
      </x:c>
      <x:c r="F134" s="31" t="n">
        <x:v>750000</x:v>
      </x:c>
      <x:c r="G134" s="31" t="n">
        <x:v>92000</x:v>
      </x:c>
    </x:row>
    <x:row r="135">
      <x:c r="A135" s="31" t="str">
        <x:v>Renault</x:v>
      </x:c>
      <x:c r="B135" s="31" t="str">
        <x:v>0-2 years</x:v>
      </x:c>
      <x:c r="C135" s="31" t="str">
        <x:v>Petrol</x:v>
      </x:c>
      <x:c r="D135" s="31" t="n">
        <x:v>61</x:v>
      </x:c>
      <x:c r="E135" s="31" t="n">
        <x:v>425000</x:v>
      </x:c>
      <x:c r="F135" s="31" t="n">
        <x:v>476786.88524590165</x:v>
      </x:c>
      <x:c r="G135" s="31" t="n">
        <x:v>12163.065573770491</x:v>
      </x:c>
    </x:row>
    <x:row r="136">
      <x:c r="A136" s="31" t="str">
        <x:v>Renault</x:v>
      </x:c>
      <x:c r="B136" s="31" t="str">
        <x:v>3-5 years</x:v>
      </x:c>
      <x:c r="C136" s="31" t="str">
        <x:v>Diesel</x:v>
      </x:c>
      <x:c r="D136" s="31" t="n">
        <x:v>54</x:v>
      </x:c>
      <x:c r="E136" s="31" t="n">
        <x:v>700000</x:v>
      </x:c>
      <x:c r="F136" s="31" t="n">
        <x:v>732259.2592592592</x:v>
      </x:c>
      <x:c r="G136" s="31" t="n">
        <x:v>83310.24074074074</x:v>
      </x:c>
    </x:row>
    <x:row r="137">
      <x:c r="A137" s="31" t="str">
        <x:v>Renault</x:v>
      </x:c>
      <x:c r="B137" s="31" t="str">
        <x:v>3-5 years</x:v>
      </x:c>
      <x:c r="C137" s="31" t="str">
        <x:v>Petrol</x:v>
      </x:c>
      <x:c r="D137" s="31" t="n">
        <x:v>244</x:v>
      </x:c>
      <x:c r="E137" s="31" t="n">
        <x:v>340500</x:v>
      </x:c>
      <x:c r="F137" s="31" t="n">
        <x:v>344381.1475409836</x:v>
      </x:c>
      <x:c r="G137" s="31" t="n">
        <x:v>29910.262295081968</x:v>
      </x:c>
    </x:row>
    <x:row r="138">
      <x:c r="A138" s="31" t="str">
        <x:v>Renault</x:v>
      </x:c>
      <x:c r="B138" s="31" t="str">
        <x:v>6-8 years</x:v>
      </x:c>
      <x:c r="C138" s="31" t="str">
        <x:v>Diesel</x:v>
      </x:c>
      <x:c r="D138" s="31" t="n">
        <x:v>139</x:v>
      </x:c>
      <x:c r="E138" s="31" t="n">
        <x:v>495000</x:v>
      </x:c>
      <x:c r="F138" s="31" t="n">
        <x:v>497280.5755395683</x:v>
      </x:c>
      <x:c r="G138" s="31" t="n">
        <x:v>78427.95683453238</x:v>
      </x:c>
    </x:row>
    <x:row r="139">
      <x:c r="A139" s="31" t="str">
        <x:v>Renault</x:v>
      </x:c>
      <x:c r="B139" s="31" t="str">
        <x:v>6-8 years</x:v>
      </x:c>
      <x:c r="C139" s="31" t="str">
        <x:v>Petrol</x:v>
      </x:c>
      <x:c r="D139" s="31" t="n">
        <x:v>15</x:v>
      </x:c>
      <x:c r="E139" s="31" t="n">
        <x:v>284000</x:v>
      </x:c>
      <x:c r="F139" s="31" t="n">
        <x:v>306866.6666666667</x:v>
      </x:c>
      <x:c r="G139" s="31" t="n">
        <x:v>43826.666666666664</x:v>
      </x:c>
    </x:row>
    <x:row r="140">
      <x:c r="A140" s="31" t="str">
        <x:v>Renault</x:v>
      </x:c>
      <x:c r="B140" s="31" t="str">
        <x:v>9-12 years</x:v>
      </x:c>
      <x:c r="C140" s="31" t="str">
        <x:v>Diesel</x:v>
      </x:c>
      <x:c r="D140" s="31" t="n">
        <x:v>12</x:v>
      </x:c>
      <x:c r="E140" s="31" t="n">
        <x:v>414000</x:v>
      </x:c>
      <x:c r="F140" s="31" t="n">
        <x:v>444416.6666666667</x:v>
      </x:c>
      <x:c r="G140" s="31" t="n">
        <x:v>75881.91666666667</x:v>
      </x:c>
    </x:row>
    <x:row r="141">
      <x:c r="A141" s="31" t="str">
        <x:v>Rolls-Royce</x:v>
      </x:c>
      <x:c r="B141" s="31" t="str">
        <x:v>3-5 years</x:v>
      </x:c>
      <x:c r="C141" s="31" t="str">
        <x:v>Petrol</x:v>
      </x:c>
      <x:c r="D141" s="31" t="n">
        <x:v>1</x:v>
      </x:c>
      <x:c r="E141" s="31" t="n">
        <x:v>24200000</x:v>
      </x:c>
      <x:c r="F141" s="31" t="n">
        <x:v>24200000</x:v>
      </x:c>
      <x:c r="G141" s="31" t="n">
        <x:v>5000</x:v>
      </x:c>
    </x:row>
    <x:row r="142">
      <x:c r="A142" s="31" t="str">
        <x:v>Skoda</x:v>
      </x:c>
      <x:c r="B142" s="31" t="str">
        <x:v>0-2 years</x:v>
      </x:c>
      <x:c r="C142" s="31" t="str">
        <x:v>Diesel</x:v>
      </x:c>
      <x:c r="D142" s="31" t="n">
        <x:v>3</x:v>
      </x:c>
      <x:c r="E142" s="31" t="n">
        <x:v>1000000</x:v>
      </x:c>
      <x:c r="F142" s="31" t="n">
        <x:v>1833333.3333333333</x:v>
      </x:c>
      <x:c r="G142" s="31" t="n">
        <x:v>26166.666666666668</x:v>
      </x:c>
    </x:row>
    <x:row r="143">
      <x:c r="A143" s="31" t="str">
        <x:v>Skoda</x:v>
      </x:c>
      <x:c r="B143" s="31" t="str">
        <x:v>0-2 years</x:v>
      </x:c>
      <x:c r="C143" s="31" t="str">
        <x:v>Petrol</x:v>
      </x:c>
      <x:c r="D143" s="31" t="n">
        <x:v>3</x:v>
      </x:c>
      <x:c r="E143" s="31" t="n">
        <x:v>1035000</x:v>
      </x:c>
      <x:c r="F143" s="31" t="n">
        <x:v>1453333.3333333333</x:v>
      </x:c>
      <x:c r="G143" s="31" t="n">
        <x:v>10833.333333333334</x:v>
      </x:c>
    </x:row>
    <x:row r="144">
      <x:c r="A144" s="31" t="str">
        <x:v>Skoda</x:v>
      </x:c>
      <x:c r="B144" s="31" t="str">
        <x:v>13+ years</x:v>
      </x:c>
      <x:c r="C144" s="31" t="str">
        <x:v>Diesel</x:v>
      </x:c>
      <x:c r="D144" s="31" t="n">
        <x:v>5</x:v>
      </x:c>
      <x:c r="E144" s="31" t="n">
        <x:v>275000</x:v>
      </x:c>
      <x:c r="F144" s="31" t="n">
        <x:v>316200</x:v>
      </x:c>
      <x:c r="G144" s="31" t="n">
        <x:v>104268</x:v>
      </x:c>
    </x:row>
    <x:row r="145">
      <x:c r="A145" s="31" t="str">
        <x:v>Skoda</x:v>
      </x:c>
      <x:c r="B145" s="31" t="str">
        <x:v>3-5 years</x:v>
      </x:c>
      <x:c r="C145" s="31" t="str">
        <x:v>Diesel</x:v>
      </x:c>
      <x:c r="D145" s="31" t="n">
        <x:v>58</x:v>
      </x:c>
      <x:c r="E145" s="31" t="n">
        <x:v>850000</x:v>
      </x:c>
      <x:c r="F145" s="31" t="n">
        <x:v>1091844.8275862068</x:v>
      </x:c>
      <x:c r="G145" s="31" t="n">
        <x:v>67867.29310344828</x:v>
      </x:c>
    </x:row>
    <x:row r="146">
      <x:c r="A146" s="31" t="str">
        <x:v>Skoda</x:v>
      </x:c>
      <x:c r="B146" s="31" t="str">
        <x:v>3-5 years</x:v>
      </x:c>
      <x:c r="C146" s="31" t="str">
        <x:v>Petrol</x:v>
      </x:c>
      <x:c r="D146" s="31" t="n">
        <x:v>42</x:v>
      </x:c>
      <x:c r="E146" s="31" t="n">
        <x:v>1495000</x:v>
      </x:c>
      <x:c r="F146" s="31" t="n">
        <x:v>1344690.4761904762</x:v>
      </x:c>
      <x:c r="G146" s="31" t="n">
        <x:v>35229.57142857143</x:v>
      </x:c>
    </x:row>
    <x:row r="147">
      <x:c r="A147" s="31" t="str">
        <x:v>Skoda</x:v>
      </x:c>
      <x:c r="B147" s="31" t="str">
        <x:v>6-8 years</x:v>
      </x:c>
      <x:c r="C147" s="31" t="str">
        <x:v>Diesel</x:v>
      </x:c>
      <x:c r="D147" s="31" t="n">
        <x:v>94</x:v>
      </x:c>
      <x:c r="E147" s="31" t="n">
        <x:v>542500</x:v>
      </x:c>
      <x:c r="F147" s="31" t="n">
        <x:v>669925.5319148937</x:v>
      </x:c>
      <x:c r="G147" s="31" t="n">
        <x:v>70616.15957446808</x:v>
      </x:c>
    </x:row>
    <x:row r="148">
      <x:c r="A148" s="31" t="str">
        <x:v>Skoda</x:v>
      </x:c>
      <x:c r="B148" s="31" t="str">
        <x:v>6-8 years</x:v>
      </x:c>
      <x:c r="C148" s="31" t="str">
        <x:v>Petrol</x:v>
      </x:c>
      <x:c r="D148" s="31" t="n">
        <x:v>51</x:v>
      </x:c>
      <x:c r="E148" s="31" t="n">
        <x:v>525000</x:v>
      </x:c>
      <x:c r="F148" s="31" t="n">
        <x:v>649509.8039215687</x:v>
      </x:c>
      <x:c r="G148" s="31" t="n">
        <x:v>51147.1568627451</x:v>
      </x:c>
    </x:row>
    <x:row r="149">
      <x:c r="A149" s="31" t="str">
        <x:v>Skoda</x:v>
      </x:c>
      <x:c r="B149" s="31" t="str">
        <x:v>9-12 years</x:v>
      </x:c>
      <x:c r="C149" s="31" t="str">
        <x:v>Diesel</x:v>
      </x:c>
      <x:c r="D149" s="31" t="n">
        <x:v>35</x:v>
      </x:c>
      <x:c r="E149" s="31" t="n">
        <x:v>450000</x:v>
      </x:c>
      <x:c r="F149" s="31" t="n">
        <x:v>461771.4285714286</x:v>
      </x:c>
      <x:c r="G149" s="31" t="n">
        <x:v>94131.8</x:v>
      </x:c>
    </x:row>
    <x:row r="150">
      <x:c r="A150" s="31" t="str">
        <x:v>Skoda</x:v>
      </x:c>
      <x:c r="B150" s="31" t="str">
        <x:v>9-12 years</x:v>
      </x:c>
      <x:c r="C150" s="31" t="str">
        <x:v>Petrol</x:v>
      </x:c>
      <x:c r="D150" s="31" t="n">
        <x:v>42</x:v>
      </x:c>
      <x:c r="E150" s="31" t="n">
        <x:v>399500</x:v>
      </x:c>
      <x:c r="F150" s="31" t="n">
        <x:v>428119.04761904763</x:v>
      </x:c>
      <x:c r="G150" s="31" t="n">
        <x:v>71045.57142857143</x:v>
      </x:c>
    </x:row>
    <x:row r="151">
      <x:c r="A151" s="31" t="str">
        <x:v>Tata</x:v>
      </x:c>
      <x:c r="B151" s="31" t="str">
        <x:v>0-2 years</x:v>
      </x:c>
      <x:c r="C151" s="31" t="str">
        <x:v>Diesel</x:v>
      </x:c>
      <x:c r="D151" s="31" t="n">
        <x:v>41</x:v>
      </x:c>
      <x:c r="E151" s="31" t="n">
        <x:v>1475000</x:v>
      </x:c>
      <x:c r="F151" s="31" t="n">
        <x:v>1237682.9268292682</x:v>
      </x:c>
      <x:c r="G151" s="31" t="n">
        <x:v>24466.48780487805</x:v>
      </x:c>
    </x:row>
    <x:row r="152">
      <x:c r="A152" s="31" t="str">
        <x:v>Tata</x:v>
      </x:c>
      <x:c r="B152" s="31" t="str">
        <x:v>0-2 years</x:v>
      </x:c>
      <x:c r="C152" s="31" t="str">
        <x:v>Petrol</x:v>
      </x:c>
      <x:c r="D152" s="31" t="n">
        <x:v>45</x:v>
      </x:c>
      <x:c r="E152" s="31" t="n">
        <x:v>550000</x:v>
      </x:c>
      <x:c r="F152" s="31" t="n">
        <x:v>605377.7777777778</x:v>
      </x:c>
      <x:c r="G152" s="31" t="n">
        <x:v>13162.933333333332</x:v>
      </x:c>
    </x:row>
    <x:row r="153">
      <x:c r="A153" s="31" t="str">
        <x:v>Tata</x:v>
      </x:c>
      <x:c r="B153" s="31" t="str">
        <x:v>13+ years</x:v>
      </x:c>
      <x:c r="C153" s="31" t="str">
        <x:v>Diesel</x:v>
      </x:c>
      <x:c r="D153" s="31" t="n">
        <x:v>7</x:v>
      </x:c>
      <x:c r="E153" s="31" t="n">
        <x:v>300000</x:v>
      </x:c>
      <x:c r="F153" s="31" t="n">
        <x:v>285000</x:v>
      </x:c>
      <x:c r="G153" s="31" t="n">
        <x:v>86365</x:v>
      </x:c>
    </x:row>
    <x:row r="154">
      <x:c r="A154" s="31" t="str">
        <x:v>Tata</x:v>
      </x:c>
      <x:c r="B154" s="31" t="str">
        <x:v>13+ years</x:v>
      </x:c>
      <x:c r="C154" s="31" t="str">
        <x:v>Petrol</x:v>
      </x:c>
      <x:c r="D154" s="31" t="n">
        <x:v>1</x:v>
      </x:c>
      <x:c r="E154" s="31" t="n">
        <x:v>70000</x:v>
      </x:c>
      <x:c r="F154" s="31" t="n">
        <x:v>70000</x:v>
      </x:c>
      <x:c r="G154" s="31" t="n">
        <x:v>80000</x:v>
      </x:c>
    </x:row>
    <x:row r="155">
      <x:c r="A155" s="31" t="str">
        <x:v>Tata</x:v>
      </x:c>
      <x:c r="B155" s="31" t="str">
        <x:v>3-5 years</x:v>
      </x:c>
      <x:c r="C155" s="31" t="str">
        <x:v>Diesel</x:v>
      </x:c>
      <x:c r="D155" s="31" t="n">
        <x:v>133</x:v>
      </x:c>
      <x:c r="E155" s="31" t="n">
        <x:v>850000</x:v>
      </x:c>
      <x:c r="F155" s="31" t="n">
        <x:v>857857.1428571428</x:v>
      </x:c>
      <x:c r="G155" s="31" t="n">
        <x:v>51102.94736842105</x:v>
      </x:c>
    </x:row>
    <x:row r="156">
      <x:c r="A156" s="31" t="str">
        <x:v>Tata</x:v>
      </x:c>
      <x:c r="B156" s="31" t="str">
        <x:v>3-5 years</x:v>
      </x:c>
      <x:c r="C156" s="31" t="str">
        <x:v>Petrol</x:v>
      </x:c>
      <x:c r="D156" s="31" t="n">
        <x:v>125</x:v>
      </x:c>
      <x:c r="E156" s="31" t="n">
        <x:v>475000</x:v>
      </x:c>
      <x:c r="F156" s="31" t="n">
        <x:v>502312</x:v>
      </x:c>
      <x:c r="G156" s="31" t="n">
        <x:v>32280.88</x:v>
      </x:c>
    </x:row>
    <x:row r="157">
      <x:c r="A157" s="31" t="str">
        <x:v>Tata</x:v>
      </x:c>
      <x:c r="B157" s="31" t="str">
        <x:v>6-8 years</x:v>
      </x:c>
      <x:c r="C157" s="31" t="str">
        <x:v>Diesel</x:v>
      </x:c>
      <x:c r="D157" s="31" t="n">
        <x:v>34</x:v>
      </x:c>
      <x:c r="E157" s="31" t="n">
        <x:v>555000</x:v>
      </x:c>
      <x:c r="F157" s="31" t="n">
        <x:v>577852.9411764706</x:v>
      </x:c>
      <x:c r="G157" s="31" t="n">
        <x:v>98028.85294117648</x:v>
      </x:c>
    </x:row>
    <x:row r="158">
      <x:c r="A158" s="31" t="str">
        <x:v>Tata</x:v>
      </x:c>
      <x:c r="B158" s="31" t="str">
        <x:v>6-8 years</x:v>
      </x:c>
      <x:c r="C158" s="31" t="str">
        <x:v>Petrol</x:v>
      </x:c>
      <x:c r="D158" s="31" t="n">
        <x:v>1</x:v>
      </x:c>
      <x:c r="E158" s="31" t="n">
        <x:v>675000</x:v>
      </x:c>
      <x:c r="F158" s="31" t="n">
        <x:v>675000</x:v>
      </x:c>
      <x:c r="G158" s="31" t="n">
        <x:v>56000</x:v>
      </x:c>
    </x:row>
    <x:row r="159">
      <x:c r="A159" s="31" t="str">
        <x:v>Tata</x:v>
      </x:c>
      <x:c r="B159" s="31" t="str">
        <x:v>9-12 years</x:v>
      </x:c>
      <x:c r="C159" s="31" t="str">
        <x:v>Diesel</x:v>
      </x:c>
      <x:c r="D159" s="31" t="n">
        <x:v>33</x:v>
      </x:c>
      <x:c r="E159" s="31" t="n">
        <x:v>300000</x:v>
      </x:c>
      <x:c r="F159" s="31" t="n">
        <x:v>316727.2727272727</x:v>
      </x:c>
      <x:c r="G159" s="31" t="n">
        <x:v>101891.57575757576</x:v>
      </x:c>
    </x:row>
    <x:row r="160">
      <x:c r="A160" s="31" t="str">
        <x:v>Tata</x:v>
      </x:c>
      <x:c r="B160" s="31" t="str">
        <x:v>9-12 years</x:v>
      </x:c>
      <x:c r="C160" s="31" t="str">
        <x:v>Petrol</x:v>
      </x:c>
      <x:c r="D160" s="31" t="n">
        <x:v>1</x:v>
      </x:c>
      <x:c r="E160" s="31" t="n">
        <x:v>490000</x:v>
      </x:c>
      <x:c r="F160" s="31" t="n">
        <x:v>490000</x:v>
      </x:c>
      <x:c r="G160" s="31" t="n">
        <x:v>120000</x:v>
      </x:c>
    </x:row>
    <x:row r="161">
      <x:c r="A161" s="31" t="str">
        <x:v>Toyota</x:v>
      </x:c>
      <x:c r="B161" s="31" t="str">
        <x:v>0-2 years</x:v>
      </x:c>
      <x:c r="C161" s="31" t="str">
        <x:v>Diesel</x:v>
      </x:c>
      <x:c r="D161" s="31" t="n">
        <x:v>43</x:v>
      </x:c>
      <x:c r="E161" s="31" t="n">
        <x:v>2000000</x:v>
      </x:c>
      <x:c r="F161" s="31" t="n">
        <x:v>2291930.2325581396</x:v>
      </x:c>
      <x:c r="G161" s="31" t="n">
        <x:v>38776.395348837206</x:v>
      </x:c>
    </x:row>
    <x:row r="162">
      <x:c r="A162" s="31" t="str">
        <x:v>Toyota</x:v>
      </x:c>
      <x:c r="B162" s="31" t="str">
        <x:v>0-2 years</x:v>
      </x:c>
      <x:c r="C162" s="31" t="str">
        <x:v>Petrol</x:v>
      </x:c>
      <x:c r="D162" s="31" t="n">
        <x:v>12</x:v>
      </x:c>
      <x:c r="E162" s="31" t="n">
        <x:v>855000</x:v>
      </x:c>
      <x:c r="F162" s="31" t="n">
        <x:v>830916.6666666666</x:v>
      </x:c>
      <x:c r="G162" s="31" t="n">
        <x:v>17511.416666666668</x:v>
      </x:c>
    </x:row>
    <x:row r="163">
      <x:c r="A163" s="31" t="str">
        <x:v>Toyota</x:v>
      </x:c>
      <x:c r="B163" s="31" t="str">
        <x:v>13+ years</x:v>
      </x:c>
      <x:c r="C163" s="31" t="str">
        <x:v>Diesel</x:v>
      </x:c>
      <x:c r="D163" s="31" t="n">
        <x:v>33</x:v>
      </x:c>
      <x:c r="E163" s="31" t="n">
        <x:v>474000</x:v>
      </x:c>
      <x:c r="F163" s="31" t="n">
        <x:v>480757.57575757575</x:v>
      </x:c>
      <x:c r="G163" s="31" t="n">
        <x:v>150574.12121212122</x:v>
      </x:c>
    </x:row>
    <x:row r="164">
      <x:c r="A164" s="31" t="str">
        <x:v>Toyota</x:v>
      </x:c>
      <x:c r="B164" s="31" t="str">
        <x:v>13+ years</x:v>
      </x:c>
      <x:c r="C164" s="31" t="str">
        <x:v>Petrol</x:v>
      </x:c>
      <x:c r="D164" s="31" t="n">
        <x:v>1</x:v>
      </x:c>
      <x:c r="E164" s="31" t="n">
        <x:v>400000</x:v>
      </x:c>
      <x:c r="F164" s="31" t="n">
        <x:v>400000</x:v>
      </x:c>
      <x:c r="G164" s="31" t="n">
        <x:v>138000</x:v>
      </x:c>
    </x:row>
    <x:row r="165">
      <x:c r="A165" s="31" t="str">
        <x:v>Toyota</x:v>
      </x:c>
      <x:c r="B165" s="31" t="str">
        <x:v>3-5 years</x:v>
      </x:c>
      <x:c r="C165" s="31" t="str">
        <x:v>Diesel</x:v>
      </x:c>
      <x:c r="D165" s="31" t="n">
        <x:v>248</x:v>
      </x:c>
      <x:c r="E165" s="31" t="n">
        <x:v>1750000</x:v>
      </x:c>
      <x:c r="F165" s="31" t="n">
        <x:v>1919544.3548387096</x:v>
      </x:c>
      <x:c r="G165" s="31" t="n">
        <x:v>64049.24193548387</x:v>
      </x:c>
    </x:row>
    <x:row r="166">
      <x:c r="A166" s="31" t="str">
        <x:v>Toyota</x:v>
      </x:c>
      <x:c r="B166" s="31" t="str">
        <x:v>3-5 years</x:v>
      </x:c>
      <x:c r="C166" s="31" t="str">
        <x:v>Electric</x:v>
      </x:c>
      <x:c r="D166" s="31" t="n">
        <x:v>1</x:v>
      </x:c>
      <x:c r="E166" s="31" t="n">
        <x:v>1865000</x:v>
      </x:c>
      <x:c r="F166" s="31" t="n">
        <x:v>1865000</x:v>
      </x:c>
      <x:c r="G166" s="31" t="n">
        <x:v>85000</x:v>
      </x:c>
    </x:row>
    <x:row r="167">
      <x:c r="A167" s="31" t="str">
        <x:v>Toyota</x:v>
      </x:c>
      <x:c r="B167" s="31" t="str">
        <x:v>3-5 years</x:v>
      </x:c>
      <x:c r="C167" s="31" t="str">
        <x:v>Petrol</x:v>
      </x:c>
      <x:c r="D167" s="31" t="n">
        <x:v>43</x:v>
      </x:c>
      <x:c r="E167" s="31" t="n">
        <x:v>1495000</x:v>
      </x:c>
      <x:c r="F167" s="31" t="n">
        <x:v>1592046.511627907</x:v>
      </x:c>
      <x:c r="G167" s="31" t="n">
        <x:v>48093.976744186046</x:v>
      </x:c>
    </x:row>
    <x:row r="168">
      <x:c r="A168" s="31" t="str">
        <x:v>Toyota</x:v>
      </x:c>
      <x:c r="B168" s="31" t="str">
        <x:v>6-8 years</x:v>
      </x:c>
      <x:c r="C168" s="31" t="str">
        <x:v>Diesel</x:v>
      </x:c>
      <x:c r="D168" s="31" t="n">
        <x:v>211</x:v>
      </x:c>
      <x:c r="E168" s="31" t="n">
        <x:v>1049000</x:v>
      </x:c>
      <x:c r="F168" s="31" t="n">
        <x:v>1126402.8436018957</x:v>
      </x:c>
      <x:c r="G168" s="31" t="n">
        <x:v>110841.43601895735</x:v>
      </x:c>
    </x:row>
    <x:row r="169">
      <x:c r="A169" s="31" t="str">
        <x:v>Toyota</x:v>
      </x:c>
      <x:c r="B169" s="31" t="str">
        <x:v>6-8 years</x:v>
      </x:c>
      <x:c r="C169" s="31" t="str">
        <x:v>Electric</x:v>
      </x:c>
      <x:c r="D169" s="31" t="n">
        <x:v>3</x:v>
      </x:c>
      <x:c r="E169" s="31" t="n">
        <x:v>1850000</x:v>
      </x:c>
      <x:c r="F169" s="31" t="n">
        <x:v>1849666.6666666667</x:v>
      </x:c>
      <x:c r="G169" s="31" t="n">
        <x:v>57833.333333333336</x:v>
      </x:c>
    </x:row>
    <x:row r="170">
      <x:c r="A170" s="31" t="str">
        <x:v>Toyota</x:v>
      </x:c>
      <x:c r="B170" s="31" t="str">
        <x:v>6-8 years</x:v>
      </x:c>
      <x:c r="C170" s="31" t="str">
        <x:v>Petrol</x:v>
      </x:c>
      <x:c r="D170" s="31" t="n">
        <x:v>10</x:v>
      </x:c>
      <x:c r="E170" s="31" t="n">
        <x:v>1624500</x:v>
      </x:c>
      <x:c r="F170" s="31" t="n">
        <x:v>1521100</x:v>
      </x:c>
      <x:c r="G170" s="31" t="n">
        <x:v>67650</x:v>
      </x:c>
    </x:row>
    <x:row r="171">
      <x:c r="A171" s="31" t="str">
        <x:v>Toyota</x:v>
      </x:c>
      <x:c r="B171" s="31" t="str">
        <x:v>9-12 years</x:v>
      </x:c>
      <x:c r="C171" s="31" t="str">
        <x:v>CNG</x:v>
      </x:c>
      <x:c r="D171" s="31" t="n">
        <x:v>2</x:v>
      </x:c>
      <x:c r="E171" s="31" t="n">
        <x:v>730000</x:v>
      </x:c>
      <x:c r="F171" s="31" t="n">
        <x:v>730000</x:v>
      </x:c>
      <x:c r="G171" s="31" t="n">
        <x:v>101500</x:v>
      </x:c>
    </x:row>
    <x:row r="172">
      <x:c r="A172" s="31" t="str">
        <x:v>Toyota</x:v>
      </x:c>
      <x:c r="B172" s="31" t="str">
        <x:v>9-12 years</x:v>
      </x:c>
      <x:c r="C172" s="31" t="str">
        <x:v>Diesel</x:v>
      </x:c>
      <x:c r="D172" s="31" t="n">
        <x:v>176</x:v>
      </x:c>
      <x:c r="E172" s="31" t="n">
        <x:v>775000</x:v>
      </x:c>
      <x:c r="F172" s="31" t="n">
        <x:v>836767.0454545454</x:v>
      </x:c>
      <x:c r="G172" s="31" t="n">
        <x:v>126717.125</x:v>
      </x:c>
    </x:row>
    <x:row r="173">
      <x:c r="A173" s="31" t="str">
        <x:v>Toyota</x:v>
      </x:c>
      <x:c r="B173" s="31" t="str">
        <x:v>9-12 years</x:v>
      </x:c>
      <x:c r="C173" s="31" t="str">
        <x:v>Petrol</x:v>
      </x:c>
      <x:c r="D173" s="31" t="n">
        <x:v>6</x:v>
      </x:c>
      <x:c r="E173" s="31" t="n">
        <x:v>662500</x:v>
      </x:c>
      <x:c r="F173" s="31" t="n">
        <x:v>631666.6666666666</x:v>
      </x:c>
      <x:c r="G173" s="31" t="n">
        <x:v>116335.33333333333</x:v>
      </x:c>
    </x:row>
    <x:row r="174">
      <x:c r="A174" s="31" t="str">
        <x:v>Volkswagen</x:v>
      </x:c>
      <x:c r="B174" s="31" t="str">
        <x:v>0-2 years</x:v>
      </x:c>
      <x:c r="C174" s="31" t="str">
        <x:v>Diesel</x:v>
      </x:c>
      <x:c r="D174" s="31" t="n">
        <x:v>8</x:v>
      </x:c>
      <x:c r="E174" s="31" t="n">
        <x:v>830000</x:v>
      </x:c>
      <x:c r="F174" s="31" t="n">
        <x:v>818250</x:v>
      </x:c>
      <x:c r="G174" s="31" t="n">
        <x:v>24779.375</x:v>
      </x:c>
    </x:row>
    <x:row r="175">
      <x:c r="A175" s="31" t="str">
        <x:v>Volkswagen</x:v>
      </x:c>
      <x:c r="B175" s="31" t="str">
        <x:v>0-2 years</x:v>
      </x:c>
      <x:c r="C175" s="31" t="str">
        <x:v>Petrol</x:v>
      </x:c>
      <x:c r="D175" s="31" t="n">
        <x:v>16</x:v>
      </x:c>
      <x:c r="E175" s="31" t="n">
        <x:v>700000</x:v>
      </x:c>
      <x:c r="F175" s="31" t="n">
        <x:v>766500</x:v>
      </x:c>
      <x:c r="G175" s="31" t="n">
        <x:v>18902.25</x:v>
      </x:c>
    </x:row>
    <x:row r="176">
      <x:c r="A176" s="31" t="str">
        <x:v>Volkswagen</x:v>
      </x:c>
      <x:c r="B176" s="31" t="str">
        <x:v>3-5 years</x:v>
      </x:c>
      <x:c r="C176" s="31" t="str">
        <x:v>Diesel</x:v>
      </x:c>
      <x:c r="D176" s="31" t="n">
        <x:v>67</x:v>
      </x:c>
      <x:c r="E176" s="31" t="n">
        <x:v>675000</x:v>
      </x:c>
      <x:c r="F176" s="31" t="n">
        <x:v>702208.9552238806</x:v>
      </x:c>
      <x:c r="G176" s="31" t="n">
        <x:v>60047.07462686567</x:v>
      </x:c>
    </x:row>
    <x:row r="177">
      <x:c r="A177" s="31" t="str">
        <x:v>Volkswagen</x:v>
      </x:c>
      <x:c r="B177" s="31" t="str">
        <x:v>3-5 years</x:v>
      </x:c>
      <x:c r="C177" s="31" t="str">
        <x:v>Petrol</x:v>
      </x:c>
      <x:c r="D177" s="31" t="n">
        <x:v>85</x:v>
      </x:c>
      <x:c r="E177" s="31" t="n">
        <x:v>680000</x:v>
      </x:c>
      <x:c r="F177" s="31" t="n">
        <x:v>674929.4117647059</x:v>
      </x:c>
      <x:c r="G177" s="31" t="n">
        <x:v>47466.56470588235</x:v>
      </x:c>
    </x:row>
    <x:row r="178">
      <x:c r="A178" s="31" t="str">
        <x:v>Volkswagen</x:v>
      </x:c>
      <x:c r="B178" s="31" t="str">
        <x:v>6-8 years</x:v>
      </x:c>
      <x:c r="C178" s="31" t="str">
        <x:v>Diesel</x:v>
      </x:c>
      <x:c r="D178" s="31" t="n">
        <x:v>153</x:v>
      </x:c>
      <x:c r="E178" s="31" t="n">
        <x:v>475000</x:v>
      </x:c>
      <x:c r="F178" s="31" t="n">
        <x:v>473921.56862745096</x:v>
      </x:c>
      <x:c r="G178" s="31" t="n">
        <x:v>72814.24836601307</x:v>
      </x:c>
    </x:row>
    <x:row r="179">
      <x:c r="A179" s="31" t="str">
        <x:v>Volkswagen</x:v>
      </x:c>
      <x:c r="B179" s="31" t="str">
        <x:v>6-8 years</x:v>
      </x:c>
      <x:c r="C179" s="31" t="str">
        <x:v>Petrol</x:v>
      </x:c>
      <x:c r="D179" s="31" t="n">
        <x:v>150</x:v>
      </x:c>
      <x:c r="E179" s="31" t="n">
        <x:v>498500</x:v>
      </x:c>
      <x:c r="F179" s="31" t="n">
        <x:v>506213.3333333333</x:v>
      </x:c>
      <x:c r="G179" s="31" t="n">
        <x:v>51439.10666666667</x:v>
      </x:c>
    </x:row>
    <x:row r="180">
      <x:c r="A180" s="31" t="str">
        <x:v>Volkswagen</x:v>
      </x:c>
      <x:c r="B180" s="31" t="str">
        <x:v>9-12 years</x:v>
      </x:c>
      <x:c r="C180" s="31" t="str">
        <x:v>Diesel</x:v>
      </x:c>
      <x:c r="D180" s="31" t="n">
        <x:v>77</x:v>
      </x:c>
      <x:c r="E180" s="31" t="n">
        <x:v>349000</x:v>
      </x:c>
      <x:c r="F180" s="31" t="n">
        <x:v>345207.7922077922</x:v>
      </x:c>
      <x:c r="G180" s="31" t="n">
        <x:v>92925.03896103895</x:v>
      </x:c>
    </x:row>
    <x:row r="181">
      <x:c r="A181" s="31" t="str">
        <x:v>Volkswagen</x:v>
      </x:c>
      <x:c r="B181" s="31" t="str">
        <x:v>9-12 years</x:v>
      </x:c>
      <x:c r="C181" s="31" t="str">
        <x:v>Petrol</x:v>
      </x:c>
      <x:c r="D181" s="31" t="n">
        <x:v>58</x:v>
      </x:c>
      <x:c r="E181" s="31" t="n">
        <x:v>310000</x:v>
      </x:c>
      <x:c r="F181" s="31" t="n">
        <x:v>315155.1724137931</x:v>
      </x:c>
      <x:c r="G181" s="31" t="n">
        <x:v>69301.41379310345</x:v>
      </x:c>
    </x:row>
    <x:row r="182">
      <x:c r="A182" s="31" t="str">
        <x:v>Volvo</x:v>
      </x:c>
      <x:c r="B182" s="31" t="str">
        <x:v>0-2 years</x:v>
      </x:c>
      <x:c r="C182" s="31" t="str">
        <x:v>Diesel</x:v>
      </x:c>
      <x:c r="D182" s="31" t="n">
        <x:v>4</x:v>
      </x:c>
      <x:c r="E182" s="31" t="n">
        <x:v>7487500</x:v>
      </x:c>
      <x:c r="F182" s="31" t="n">
        <x:v>6917500</x:v>
      </x:c>
      <x:c r="G182" s="31" t="n">
        <x:v>17250</x:v>
      </x:c>
    </x:row>
    <x:row r="183">
      <x:c r="A183" s="31" t="str">
        <x:v>Volvo</x:v>
      </x:c>
      <x:c r="B183" s="31" t="str">
        <x:v>3-5 years</x:v>
      </x:c>
      <x:c r="C183" s="31" t="str">
        <x:v>Diesel</x:v>
      </x:c>
      <x:c r="D183" s="31" t="n">
        <x:v>6</x:v>
      </x:c>
      <x:c r="E183" s="31" t="n">
        <x:v>4075000</x:v>
      </x:c>
      <x:c r="F183" s="31" t="n">
        <x:v>4316500</x:v>
      </x:c>
      <x:c r="G183" s="31" t="n">
        <x:v>47783.333333333336</x:v>
      </x:c>
    </x:row>
    <x:row r="184">
      <x:c r="A184" s="31" t="str">
        <x:v>Volvo</x:v>
      </x:c>
      <x:c r="B184" s="31" t="str">
        <x:v>6-8 years</x:v>
      </x:c>
      <x:c r="C184" s="31" t="str">
        <x:v>Diesel</x:v>
      </x:c>
      <x:c r="D184" s="31" t="n">
        <x:v>7</x:v>
      </x:c>
      <x:c r="E184" s="31" t="n">
        <x:v>2400000</x:v>
      </x:c>
      <x:c r="F184" s="31" t="n">
        <x:v>2403571.4285714286</x:v>
      </x:c>
      <x:c r="G184" s="31" t="n">
        <x:v>80849.42857142857</x:v>
      </x:c>
    </x:row>
    <x:row r="185">
      <x:c r="A185" s="31" t="str">
        <x:v>Volvo</x:v>
      </x:c>
      <x:c r="B185" s="31" t="str">
        <x:v>9-12 years</x:v>
      </x:c>
      <x:c r="C185" s="31" t="str">
        <x:v>Diesel</x:v>
      </x:c>
      <x:c r="D185" s="31" t="n">
        <x:v>3</x:v>
      </x:c>
      <x:c r="E185" s="31" t="n">
        <x:v>1400000</x:v>
      </x:c>
      <x:c r="F185" s="31" t="n">
        <x:v>1400000</x:v>
      </x:c>
      <x:c r="G185" s="31" t="n">
        <x:v>101000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0" t="str">
        <x:v>brand</x:v>
      </x:c>
      <x:c r="B1" s="30" t="str">
        <x:v>fuel_type</x:v>
      </x:c>
      <x:c r="C1" s="30" t="str">
        <x:v>vehicle_age</x:v>
      </x:c>
      <x:c r="D1" s="30" t="str">
        <x:v>actual_median_price</x:v>
      </x:c>
      <x:c r="E1" s="30" t="str">
        <x:v>series</x:v>
      </x:c>
    </x:row>
    <x:row r="2">
      <x:c r="A2" s="31" t="str">
        <x:v>Toyota</x:v>
      </x:c>
      <x:c r="B2" s="31" t="str">
        <x:v>Diesel</x:v>
      </x:c>
      <x:c r="C2" s="31" t="n">
        <x:v>1</x:v>
      </x:c>
      <x:c r="D2" s="31" t="n">
        <x:v>3650000</x:v>
      </x:c>
      <x:c r="E2" s="31" t="str">
        <x:v>observed</x:v>
      </x:c>
    </x:row>
    <x:row r="3">
      <x:c r="A3" s="31" t="str">
        <x:v>Toyota</x:v>
      </x:c>
      <x:c r="B3" s="31" t="str">
        <x:v>Diesel</x:v>
      </x:c>
      <x:c r="C3" s="31" t="n">
        <x:v>2</x:v>
      </x:c>
      <x:c r="D3" s="31" t="n">
        <x:v>1950000</x:v>
      </x:c>
      <x:c r="E3" s="31" t="str">
        <x:v>observed</x:v>
      </x:c>
    </x:row>
    <x:row r="4">
      <x:c r="A4" s="31" t="str">
        <x:v>Toyota</x:v>
      </x:c>
      <x:c r="B4" s="31" t="str">
        <x:v>Diesel</x:v>
      </x:c>
      <x:c r="C4" s="31" t="n">
        <x:v>3</x:v>
      </x:c>
      <x:c r="D4" s="31" t="n">
        <x:v>1991000</x:v>
      </x:c>
      <x:c r="E4" s="31" t="str">
        <x:v>observed</x:v>
      </x:c>
    </x:row>
    <x:row r="5">
      <x:c r="A5" s="31" t="str">
        <x:v>Toyota</x:v>
      </x:c>
      <x:c r="B5" s="31" t="str">
        <x:v>Diesel</x:v>
      </x:c>
      <x:c r="C5" s="31" t="n">
        <x:v>4</x:v>
      </x:c>
      <x:c r="D5" s="31" t="n">
        <x:v>1750000</x:v>
      </x:c>
      <x:c r="E5" s="31" t="str">
        <x:v>observed</x:v>
      </x:c>
    </x:row>
    <x:row r="6">
      <x:c r="A6" s="31" t="str">
        <x:v>Toyota</x:v>
      </x:c>
      <x:c r="B6" s="31" t="str">
        <x:v>Diesel</x:v>
      </x:c>
      <x:c r="C6" s="31" t="n">
        <x:v>5</x:v>
      </x:c>
      <x:c r="D6" s="31" t="n">
        <x:v>1640000</x:v>
      </x:c>
      <x:c r="E6" s="31" t="str">
        <x:v>observed</x:v>
      </x:c>
    </x:row>
    <x:row r="7">
      <x:c r="A7" s="31" t="str">
        <x:v>Toyota</x:v>
      </x:c>
      <x:c r="B7" s="31" t="str">
        <x:v>Diesel</x:v>
      </x:c>
      <x:c r="C7" s="31" t="n">
        <x:v>6</x:v>
      </x:c>
      <x:c r="D7" s="31" t="n">
        <x:v>1179000</x:v>
      </x:c>
      <x:c r="E7" s="31" t="str">
        <x:v>observed</x:v>
      </x:c>
    </x:row>
    <x:row r="8">
      <x:c r="A8" s="31" t="str">
        <x:v>Toyota</x:v>
      </x:c>
      <x:c r="B8" s="31" t="str">
        <x:v>Diesel</x:v>
      </x:c>
      <x:c r="C8" s="31" t="n">
        <x:v>7</x:v>
      </x:c>
      <x:c r="D8" s="31" t="n">
        <x:v>1011000</x:v>
      </x:c>
      <x:c r="E8" s="31" t="str">
        <x:v>observed</x:v>
      </x:c>
    </x:row>
    <x:row r="9">
      <x:c r="A9" s="31" t="str">
        <x:v>Toyota</x:v>
      </x:c>
      <x:c r="B9" s="31" t="str">
        <x:v>Diesel</x:v>
      </x:c>
      <x:c r="C9" s="31" t="n">
        <x:v>8</x:v>
      </x:c>
      <x:c r="D9" s="31" t="n">
        <x:v>955000</x:v>
      </x:c>
      <x:c r="E9" s="31" t="str">
        <x:v>observed</x:v>
      </x:c>
    </x:row>
    <x:row r="10">
      <x:c r="A10" s="31" t="str">
        <x:v>Toyota</x:v>
      </x:c>
      <x:c r="B10" s="31" t="str">
        <x:v>Diesel</x:v>
      </x:c>
      <x:c r="C10" s="31" t="n">
        <x:v>9</x:v>
      </x:c>
      <x:c r="D10" s="31" t="n">
        <x:v>1050000</x:v>
      </x:c>
      <x:c r="E10" s="31" t="str">
        <x:v>observed</x:v>
      </x:c>
    </x:row>
    <x:row r="11">
      <x:c r="A11" s="31" t="str">
        <x:v>Toyota</x:v>
      </x:c>
      <x:c r="B11" s="31" t="str">
        <x:v>Diesel</x:v>
      </x:c>
      <x:c r="C11" s="31" t="n">
        <x:v>10</x:v>
      </x:c>
      <x:c r="D11" s="31" t="n">
        <x:v>700000</x:v>
      </x:c>
      <x:c r="E11" s="31" t="str">
        <x:v>observed</x:v>
      </x:c>
    </x:row>
    <x:row r="12">
      <x:c r="A12" s="31" t="str">
        <x:v>Toyota</x:v>
      </x:c>
      <x:c r="B12" s="31" t="str">
        <x:v>Diesel</x:v>
      </x:c>
      <x:c r="C12" s="31" t="n">
        <x:v>11</x:v>
      </x:c>
      <x:c r="D12" s="31" t="n">
        <x:v>737500</x:v>
      </x:c>
      <x:c r="E12" s="31" t="str">
        <x:v>observed</x:v>
      </x:c>
    </x:row>
    <x:row r="13">
      <x:c r="A13" s="31" t="str">
        <x:v>Toyota</x:v>
      </x:c>
      <x:c r="B13" s="31" t="str">
        <x:v>Diesel</x:v>
      </x:c>
      <x:c r="C13" s="31" t="n">
        <x:v>12</x:v>
      </x:c>
      <x:c r="D13" s="31" t="n">
        <x:v>542500</x:v>
      </x:c>
      <x:c r="E13" s="31" t="str">
        <x:v>observed</x:v>
      </x:c>
    </x:row>
    <x:row r="14">
      <x:c r="A14" s="31" t="str">
        <x:v>Toyota</x:v>
      </x:c>
      <x:c r="B14" s="31" t="str">
        <x:v>Diesel</x:v>
      </x:c>
      <x:c r="C14" s="31" t="n">
        <x:v>13</x:v>
      </x:c>
      <x:c r="D14" s="31" t="n">
        <x:v>485000</x:v>
      </x:c>
      <x:c r="E14" s="31" t="str">
        <x:v>observed</x:v>
      </x:c>
    </x:row>
    <x:row r="15">
      <x:c r="A15" s="31" t="str">
        <x:v>Toyota</x:v>
      </x:c>
      <x:c r="B15" s="31" t="str">
        <x:v>Diesel</x:v>
      </x:c>
      <x:c r="C15" s="31" t="n">
        <x:v>14</x:v>
      </x:c>
      <x:c r="D15" s="31" t="n">
        <x:v>462000</x:v>
      </x:c>
      <x:c r="E15" s="31" t="str">
        <x:v>observed</x:v>
      </x:c>
    </x:row>
    <x:row r="16">
      <x:c r="A16" s="31" t="str">
        <x:v>Toyota</x:v>
      </x:c>
      <x:c r="B16" s="31" t="str">
        <x:v>Diesel</x:v>
      </x:c>
      <x:c r="C16" s="31" t="n">
        <x:v>15</x:v>
      </x:c>
      <x:c r="D16" s="31" t="n">
        <x:v>390000</x:v>
      </x:c>
      <x:c r="E16" s="31" t="str">
        <x:v>observed</x:v>
      </x:c>
    </x:row>
    <x:row r="17">
      <x:c r="A17" s="31" t="str">
        <x:v>Maruti</x:v>
      </x:c>
      <x:c r="B17" s="31" t="str">
        <x:v>Diesel</x:v>
      </x:c>
      <x:c r="C17" s="31" t="n">
        <x:v>1</x:v>
      </x:c>
      <x:c r="D17" s="31" t="n">
        <x:v>782500</x:v>
      </x:c>
      <x:c r="E17" s="31" t="str">
        <x:v>observed</x:v>
      </x:c>
    </x:row>
    <x:row r="18">
      <x:c r="A18" s="31" t="str">
        <x:v>Maruti</x:v>
      </x:c>
      <x:c r="B18" s="31" t="str">
        <x:v>Diesel</x:v>
      </x:c>
      <x:c r="C18" s="31" t="n">
        <x:v>2</x:v>
      </x:c>
      <x:c r="D18" s="31" t="n">
        <x:v>897500</x:v>
      </x:c>
      <x:c r="E18" s="31" t="str">
        <x:v>observed</x:v>
      </x:c>
    </x:row>
    <x:row r="19">
      <x:c r="A19" s="31" t="str">
        <x:v>Maruti</x:v>
      </x:c>
      <x:c r="B19" s="31" t="str">
        <x:v>Diesel</x:v>
      </x:c>
      <x:c r="C19" s="31" t="n">
        <x:v>3</x:v>
      </x:c>
      <x:c r="D19" s="31" t="n">
        <x:v>775000</x:v>
      </x:c>
      <x:c r="E19" s="31" t="str">
        <x:v>observed</x:v>
      </x:c>
    </x:row>
    <x:row r="20">
      <x:c r="A20" s="31" t="str">
        <x:v>Maruti</x:v>
      </x:c>
      <x:c r="B20" s="31" t="str">
        <x:v>Diesel</x:v>
      </x:c>
      <x:c r="C20" s="31" t="n">
        <x:v>4</x:v>
      </x:c>
      <x:c r="D20" s="31" t="n">
        <x:v>725000</x:v>
      </x:c>
      <x:c r="E20" s="31" t="str">
        <x:v>observed</x:v>
      </x:c>
    </x:row>
    <x:row r="21">
      <x:c r="A21" s="31" t="str">
        <x:v>Maruti</x:v>
      </x:c>
      <x:c r="B21" s="31" t="str">
        <x:v>Diesel</x:v>
      </x:c>
      <x:c r="C21" s="31" t="n">
        <x:v>5</x:v>
      </x:c>
      <x:c r="D21" s="31" t="n">
        <x:v>650000</x:v>
      </x:c>
      <x:c r="E21" s="31" t="str">
        <x:v>observed</x:v>
      </x:c>
    </x:row>
    <x:row r="22">
      <x:c r="A22" s="31" t="str">
        <x:v>Maruti</x:v>
      </x:c>
      <x:c r="B22" s="31" t="str">
        <x:v>Diesel</x:v>
      </x:c>
      <x:c r="C22" s="31" t="n">
        <x:v>6</x:v>
      </x:c>
      <x:c r="D22" s="31" t="n">
        <x:v>535500</x:v>
      </x:c>
      <x:c r="E22" s="31" t="str">
        <x:v>observed</x:v>
      </x:c>
    </x:row>
    <x:row r="23">
      <x:c r="A23" s="31" t="str">
        <x:v>Maruti</x:v>
      </x:c>
      <x:c r="B23" s="31" t="str">
        <x:v>Diesel</x:v>
      </x:c>
      <x:c r="C23" s="31" t="n">
        <x:v>7</x:v>
      </x:c>
      <x:c r="D23" s="31" t="n">
        <x:v>485000</x:v>
      </x:c>
      <x:c r="E23" s="31" t="str">
        <x:v>observed</x:v>
      </x:c>
    </x:row>
    <x:row r="24">
      <x:c r="A24" s="31" t="str">
        <x:v>Maruti</x:v>
      </x:c>
      <x:c r="B24" s="31" t="str">
        <x:v>Diesel</x:v>
      </x:c>
      <x:c r="C24" s="31" t="n">
        <x:v>8</x:v>
      </x:c>
      <x:c r="D24" s="31" t="n">
        <x:v>450000</x:v>
      </x:c>
      <x:c r="E24" s="31" t="str">
        <x:v>observed</x:v>
      </x:c>
    </x:row>
    <x:row r="25">
      <x:c r="A25" s="31" t="str">
        <x:v>Maruti</x:v>
      </x:c>
      <x:c r="B25" s="31" t="str">
        <x:v>Diesel</x:v>
      </x:c>
      <x:c r="C25" s="31" t="n">
        <x:v>9</x:v>
      </x:c>
      <x:c r="D25" s="31" t="n">
        <x:v>410000</x:v>
      </x:c>
      <x:c r="E25" s="31" t="str">
        <x:v>observed</x:v>
      </x:c>
    </x:row>
    <x:row r="26">
      <x:c r="A26" s="31" t="str">
        <x:v>Maruti</x:v>
      </x:c>
      <x:c r="B26" s="31" t="str">
        <x:v>Diesel</x:v>
      </x:c>
      <x:c r="C26" s="31" t="n">
        <x:v>10</x:v>
      </x:c>
      <x:c r="D26" s="31" t="n">
        <x:v>350000</x:v>
      </x:c>
      <x:c r="E26" s="31" t="str">
        <x:v>observed</x:v>
      </x:c>
    </x:row>
    <x:row r="27">
      <x:c r="A27" s="31" t="str">
        <x:v>Maruti</x:v>
      </x:c>
      <x:c r="B27" s="31" t="str">
        <x:v>Diesel</x:v>
      </x:c>
      <x:c r="C27" s="31" t="n">
        <x:v>11</x:v>
      </x:c>
      <x:c r="D27" s="31" t="n">
        <x:v>300000</x:v>
      </x:c>
      <x:c r="E27" s="31" t="str">
        <x:v>observed</x:v>
      </x:c>
    </x:row>
    <x:row r="28">
      <x:c r="A28" s="31" t="str">
        <x:v>Maruti</x:v>
      </x:c>
      <x:c r="B28" s="31" t="str">
        <x:v>Diesel</x:v>
      </x:c>
      <x:c r="C28" s="31" t="n">
        <x:v>12</x:v>
      </x:c>
      <x:c r="D28" s="31" t="n">
        <x:v>252500</x:v>
      </x:c>
      <x:c r="E28" s="31" t="str">
        <x:v>observed</x:v>
      </x:c>
    </x:row>
    <x:row r="29">
      <x:c r="A29" s="31" t="str">
        <x:v>Maruti</x:v>
      </x:c>
      <x:c r="B29" s="31" t="str">
        <x:v>Diesel</x:v>
      </x:c>
      <x:c r="C29" s="31" t="n">
        <x:v>13</x:v>
      </x:c>
      <x:c r="D29" s="31" t="n">
        <x:v>285000</x:v>
      </x:c>
      <x:c r="E29" s="31" t="str">
        <x:v>observed</x:v>
      </x:c>
    </x:row>
    <x:row r="30">
      <x:c r="A30" s="31" t="str">
        <x:v>Maruti</x:v>
      </x:c>
      <x:c r="B30" s="31" t="str">
        <x:v>Diesel</x:v>
      </x:c>
      <x:c r="C30" s="31" t="n">
        <x:v>14</x:v>
      </x:c>
      <x:c r="D30" s="31" t="n">
        <x:v>215000</x:v>
      </x:c>
      <x:c r="E30" s="31" t="str">
        <x:v>observed</x:v>
      </x:c>
    </x:row>
    <x:row r="31">
      <x:c r="A31" s="31" t="str">
        <x:v>Maruti</x:v>
      </x:c>
      <x:c r="B31" s="31" t="str">
        <x:v>Petrol</x:v>
      </x:c>
      <x:c r="C31" s="31" t="n">
        <x:v>0</x:v>
      </x:c>
      <x:c r="D31" s="31" t="n">
        <x:v>525000</x:v>
      </x:c>
      <x:c r="E31" s="31" t="str">
        <x:v>observed</x:v>
      </x:c>
    </x:row>
    <x:row r="32">
      <x:c r="A32" s="31" t="str">
        <x:v>Maruti</x:v>
      </x:c>
      <x:c r="B32" s="31" t="str">
        <x:v>Petrol</x:v>
      </x:c>
      <x:c r="C32" s="31" t="n">
        <x:v>1</x:v>
      </x:c>
      <x:c r="D32" s="31" t="n">
        <x:v>617500</x:v>
      </x:c>
      <x:c r="E32" s="31" t="str">
        <x:v>observed</x:v>
      </x:c>
    </x:row>
    <x:row r="33">
      <x:c r="A33" s="31" t="str">
        <x:v>Maruti</x:v>
      </x:c>
      <x:c r="B33" s="31" t="str">
        <x:v>Petrol</x:v>
      </x:c>
      <x:c r="C33" s="31" t="n">
        <x:v>2</x:v>
      </x:c>
      <x:c r="D33" s="31" t="n">
        <x:v>593500</x:v>
      </x:c>
      <x:c r="E33" s="31" t="str">
        <x:v>observed</x:v>
      </x:c>
    </x:row>
    <x:row r="34">
      <x:c r="A34" s="31" t="str">
        <x:v>Maruti</x:v>
      </x:c>
      <x:c r="B34" s="31" t="str">
        <x:v>Petrol</x:v>
      </x:c>
      <x:c r="C34" s="31" t="n">
        <x:v>3</x:v>
      </x:c>
      <x:c r="D34" s="31" t="n">
        <x:v>575000</x:v>
      </x:c>
      <x:c r="E34" s="31" t="str">
        <x:v>observed</x:v>
      </x:c>
    </x:row>
    <x:row r="35">
      <x:c r="A35" s="31" t="str">
        <x:v>Maruti</x:v>
      </x:c>
      <x:c r="B35" s="31" t="str">
        <x:v>Petrol</x:v>
      </x:c>
      <x:c r="C35" s="31" t="n">
        <x:v>4</x:v>
      </x:c>
      <x:c r="D35" s="31" t="n">
        <x:v>525000</x:v>
      </x:c>
      <x:c r="E35" s="31" t="str">
        <x:v>observed</x:v>
      </x:c>
    </x:row>
    <x:row r="36">
      <x:c r="A36" s="31" t="str">
        <x:v>Maruti</x:v>
      </x:c>
      <x:c r="B36" s="31" t="str">
        <x:v>Petrol</x:v>
      </x:c>
      <x:c r="C36" s="31" t="n">
        <x:v>5</x:v>
      </x:c>
      <x:c r="D36" s="31" t="n">
        <x:v>450000</x:v>
      </x:c>
      <x:c r="E36" s="31" t="str">
        <x:v>observed</x:v>
      </x:c>
    </x:row>
    <x:row r="37">
      <x:c r="A37" s="31" t="str">
        <x:v>Maruti</x:v>
      </x:c>
      <x:c r="B37" s="31" t="str">
        <x:v>Petrol</x:v>
      </x:c>
      <x:c r="C37" s="31" t="n">
        <x:v>6</x:v>
      </x:c>
      <x:c r="D37" s="31" t="n">
        <x:v>400000</x:v>
      </x:c>
      <x:c r="E37" s="31" t="str">
        <x:v>observed</x:v>
      </x:c>
    </x:row>
    <x:row r="38">
      <x:c r="A38" s="31" t="str">
        <x:v>Maruti</x:v>
      </x:c>
      <x:c r="B38" s="31" t="str">
        <x:v>Petrol</x:v>
      </x:c>
      <x:c r="C38" s="31" t="n">
        <x:v>7</x:v>
      </x:c>
      <x:c r="D38" s="31" t="n">
        <x:v>350000</x:v>
      </x:c>
      <x:c r="E38" s="31" t="str">
        <x:v>observed</x:v>
      </x:c>
    </x:row>
    <x:row r="39">
      <x:c r="A39" s="31" t="str">
        <x:v>Maruti</x:v>
      </x:c>
      <x:c r="B39" s="31" t="str">
        <x:v>Petrol</x:v>
      </x:c>
      <x:c r="C39" s="31" t="n">
        <x:v>8</x:v>
      </x:c>
      <x:c r="D39" s="31" t="n">
        <x:v>319000</x:v>
      </x:c>
      <x:c r="E39" s="31" t="str">
        <x:v>observed</x:v>
      </x:c>
    </x:row>
    <x:row r="40">
      <x:c r="A40" s="31" t="str">
        <x:v>Maruti</x:v>
      </x:c>
      <x:c r="B40" s="31" t="str">
        <x:v>Petrol</x:v>
      </x:c>
      <x:c r="C40" s="31" t="n">
        <x:v>9</x:v>
      </x:c>
      <x:c r="D40" s="31" t="n">
        <x:v>265000</x:v>
      </x:c>
      <x:c r="E40" s="31" t="str">
        <x:v>observed</x:v>
      </x:c>
    </x:row>
    <x:row r="41">
      <x:c r="A41" s="31" t="str">
        <x:v>Maruti</x:v>
      </x:c>
      <x:c r="B41" s="31" t="str">
        <x:v>Petrol</x:v>
      </x:c>
      <x:c r="C41" s="31" t="n">
        <x:v>10</x:v>
      </x:c>
      <x:c r="D41" s="31" t="n">
        <x:v>235000</x:v>
      </x:c>
      <x:c r="E41" s="31" t="str">
        <x:v>observed</x:v>
      </x:c>
    </x:row>
    <x:row r="42">
      <x:c r="A42" s="31" t="str">
        <x:v>Maruti</x:v>
      </x:c>
      <x:c r="B42" s="31" t="str">
        <x:v>Petrol</x:v>
      </x:c>
      <x:c r="C42" s="31" t="n">
        <x:v>11</x:v>
      </x:c>
      <x:c r="D42" s="31" t="n">
        <x:v>214000</x:v>
      </x:c>
      <x:c r="E42" s="31" t="str">
        <x:v>observed</x:v>
      </x:c>
    </x:row>
    <x:row r="43">
      <x:c r="A43" s="31" t="str">
        <x:v>Maruti</x:v>
      </x:c>
      <x:c r="B43" s="31" t="str">
        <x:v>Petrol</x:v>
      </x:c>
      <x:c r="C43" s="31" t="n">
        <x:v>12</x:v>
      </x:c>
      <x:c r="D43" s="31" t="n">
        <x:v>179000</x:v>
      </x:c>
      <x:c r="E43" s="31" t="str">
        <x:v>observed</x:v>
      </x:c>
    </x:row>
    <x:row r="44">
      <x:c r="A44" s="31" t="str">
        <x:v>Maruti</x:v>
      </x:c>
      <x:c r="B44" s="31" t="str">
        <x:v>Petrol</x:v>
      </x:c>
      <x:c r="C44" s="31" t="n">
        <x:v>13</x:v>
      </x:c>
      <x:c r="D44" s="31" t="n">
        <x:v>150000</x:v>
      </x:c>
      <x:c r="E44" s="31" t="str">
        <x:v>observed</x:v>
      </x:c>
    </x:row>
    <x:row r="45">
      <x:c r="A45" s="31" t="str">
        <x:v>Maruti</x:v>
      </x:c>
      <x:c r="B45" s="31" t="str">
        <x:v>Petrol</x:v>
      </x:c>
      <x:c r="C45" s="31" t="n">
        <x:v>14</x:v>
      </x:c>
      <x:c r="D45" s="31" t="n">
        <x:v>121000</x:v>
      </x:c>
      <x:c r="E45" s="31" t="str">
        <x:v>observed</x:v>
      </x:c>
    </x:row>
    <x:row r="46">
      <x:c r="A46" s="31" t="str">
        <x:v>Maruti</x:v>
      </x:c>
      <x:c r="B46" s="31" t="str">
        <x:v>Petrol</x:v>
      </x:c>
      <x:c r="C46" s="31" t="n">
        <x:v>15</x:v>
      </x:c>
      <x:c r="D46" s="31" t="n">
        <x:v>110000</x:v>
      </x:c>
      <x:c r="E46" s="31" t="str">
        <x:v>observed</x:v>
      </x:c>
    </x:row>
    <x:row r="47">
      <x:c r="A47" s="31" t="str">
        <x:v>Maruti</x:v>
      </x:c>
      <x:c r="B47" s="31" t="str">
        <x:v>Petrol</x:v>
      </x:c>
      <x:c r="C47" s="31" t="n">
        <x:v>16</x:v>
      </x:c>
      <x:c r="D47" s="31" t="n">
        <x:v>95000</x:v>
      </x:c>
      <x:c r="E47" s="31" t="str">
        <x:v>observed</x:v>
      </x:c>
    </x:row>
    <x:row r="48">
      <x:c r="A48" s="31" t="str">
        <x:v>Maruti</x:v>
      </x:c>
      <x:c r="B48" s="31" t="str">
        <x:v>Petrol</x:v>
      </x:c>
      <x:c r="C48" s="31" t="n">
        <x:v>17</x:v>
      </x:c>
      <x:c r="D48" s="31" t="n">
        <x:v>80000</x:v>
      </x:c>
      <x:c r="E48" s="31" t="str">
        <x:v>observed</x:v>
      </x:c>
    </x:row>
    <x:row r="49">
      <x:c r="A49" s="31" t="str">
        <x:v>Maruti</x:v>
      </x:c>
      <x:c r="B49" s="31" t="str">
        <x:v>Petrol</x:v>
      </x:c>
      <x:c r="C49" s="31" t="n">
        <x:v>18</x:v>
      </x:c>
      <x:c r="D49" s="31" t="n">
        <x:v>70000</x:v>
      </x:c>
      <x:c r="E49" s="31" t="str">
        <x:v>observed</x:v>
      </x:c>
    </x:row>
    <x:row r="50">
      <x:c r="A50" s="31" t="str">
        <x:v>Maruti</x:v>
      </x:c>
      <x:c r="B50" s="31" t="str">
        <x:v>Petrol</x:v>
      </x:c>
      <x:c r="C50" s="31" t="n">
        <x:v>19</x:v>
      </x:c>
      <x:c r="D50" s="31" t="n">
        <x:v>85000</x:v>
      </x:c>
      <x:c r="E50" s="31" t="str">
        <x:v>observed</x:v>
      </x:c>
    </x:row>
    <x:row r="51">
      <x:c r="A51" s="31" t="str">
        <x:v>Maruti</x:v>
      </x:c>
      <x:c r="B51" s="31" t="str">
        <x:v>Petrol</x:v>
      </x:c>
      <x:c r="C51" s="31" t="n">
        <x:v>21</x:v>
      </x:c>
      <x:c r="D51" s="31" t="n">
        <x:v>85000</x:v>
      </x:c>
      <x:c r="E51" s="31" t="str">
        <x:v>observed</x:v>
      </x:c>
    </x:row>
    <x:row r="52">
      <x:c r="A52" s="31" t="str">
        <x:v>Maruti</x:v>
      </x:c>
      <x:c r="B52" s="31" t="str">
        <x:v>Petrol</x:v>
      </x:c>
      <x:c r="C52" s="31" t="n">
        <x:v>29</x:v>
      </x:c>
      <x:c r="D52" s="31" t="n">
        <x:v>60000</x:v>
      </x:c>
      <x:c r="E52" s="31" t="str">
        <x:v>observed</x:v>
      </x:c>
    </x:row>
    <x:row r="53">
      <x:c r="A53" s="31" t="str">
        <x:v>Mahindra</x:v>
      </x:c>
      <x:c r="B53" s="31" t="str">
        <x:v>Diesel</x:v>
      </x:c>
      <x:c r="C53" s="31" t="n">
        <x:v>1</x:v>
      </x:c>
      <x:c r="D53" s="31" t="n">
        <x:v>800000</x:v>
      </x:c>
      <x:c r="E53" s="31" t="str">
        <x:v>observed</x:v>
      </x:c>
    </x:row>
    <x:row r="54">
      <x:c r="A54" s="31" t="str">
        <x:v>Mahindra</x:v>
      </x:c>
      <x:c r="B54" s="31" t="str">
        <x:v>Diesel</x:v>
      </x:c>
      <x:c r="C54" s="31" t="n">
        <x:v>2</x:v>
      </x:c>
      <x:c r="D54" s="31" t="n">
        <x:v>1079000</x:v>
      </x:c>
      <x:c r="E54" s="31" t="str">
        <x:v>observed</x:v>
      </x:c>
    </x:row>
    <x:row r="55">
      <x:c r="A55" s="31" t="str">
        <x:v>Mahindra</x:v>
      </x:c>
      <x:c r="B55" s="31" t="str">
        <x:v>Diesel</x:v>
      </x:c>
      <x:c r="C55" s="31" t="n">
        <x:v>3</x:v>
      </x:c>
      <x:c r="D55" s="31" t="n">
        <x:v>1050000</x:v>
      </x:c>
      <x:c r="E55" s="31" t="str">
        <x:v>observed</x:v>
      </x:c>
    </x:row>
    <x:row r="56">
      <x:c r="A56" s="31" t="str">
        <x:v>Mahindra</x:v>
      </x:c>
      <x:c r="B56" s="31" t="str">
        <x:v>Diesel</x:v>
      </x:c>
      <x:c r="C56" s="31" t="n">
        <x:v>4</x:v>
      </x:c>
      <x:c r="D56" s="31" t="n">
        <x:v>1067500</x:v>
      </x:c>
      <x:c r="E56" s="31" t="str">
        <x:v>observed</x:v>
      </x:c>
    </x:row>
    <x:row r="57">
      <x:c r="A57" s="31" t="str">
        <x:v>Mahindra</x:v>
      </x:c>
      <x:c r="B57" s="31" t="str">
        <x:v>Diesel</x:v>
      </x:c>
      <x:c r="C57" s="31" t="n">
        <x:v>5</x:v>
      </x:c>
      <x:c r="D57" s="31" t="n">
        <x:v>877000</x:v>
      </x:c>
      <x:c r="E57" s="31" t="str">
        <x:v>observed</x:v>
      </x:c>
    </x:row>
    <x:row r="58">
      <x:c r="A58" s="31" t="str">
        <x:v>Mahindra</x:v>
      </x:c>
      <x:c r="B58" s="31" t="str">
        <x:v>Diesel</x:v>
      </x:c>
      <x:c r="C58" s="31" t="n">
        <x:v>6</x:v>
      </x:c>
      <x:c r="D58" s="31" t="n">
        <x:v>850000</x:v>
      </x:c>
      <x:c r="E58" s="31" t="str">
        <x:v>observed</x:v>
      </x:c>
    </x:row>
    <x:row r="59">
      <x:c r="A59" s="31" t="str">
        <x:v>Mahindra</x:v>
      </x:c>
      <x:c r="B59" s="31" t="str">
        <x:v>Diesel</x:v>
      </x:c>
      <x:c r="C59" s="31" t="n">
        <x:v>7</x:v>
      </x:c>
      <x:c r="D59" s="31" t="n">
        <x:v>655000</x:v>
      </x:c>
      <x:c r="E59" s="31" t="str">
        <x:v>observed</x:v>
      </x:c>
    </x:row>
    <x:row r="60">
      <x:c r="A60" s="31" t="str">
        <x:v>Mahindra</x:v>
      </x:c>
      <x:c r="B60" s="31" t="str">
        <x:v>Diesel</x:v>
      </x:c>
      <x:c r="C60" s="31" t="n">
        <x:v>8</x:v>
      </x:c>
      <x:c r="D60" s="31" t="n">
        <x:v>575000</x:v>
      </x:c>
      <x:c r="E60" s="31" t="str">
        <x:v>observed</x:v>
      </x:c>
    </x:row>
    <x:row r="61">
      <x:c r="A61" s="31" t="str">
        <x:v>Mahindra</x:v>
      </x:c>
      <x:c r="B61" s="31" t="str">
        <x:v>Diesel</x:v>
      </x:c>
      <x:c r="C61" s="31" t="n">
        <x:v>9</x:v>
      </x:c>
      <x:c r="D61" s="31" t="n">
        <x:v>550000</x:v>
      </x:c>
      <x:c r="E61" s="31" t="str">
        <x:v>observed</x:v>
      </x:c>
    </x:row>
    <x:row r="62">
      <x:c r="A62" s="31" t="str">
        <x:v>Mahindra</x:v>
      </x:c>
      <x:c r="B62" s="31" t="str">
        <x:v>Diesel</x:v>
      </x:c>
      <x:c r="C62" s="31" t="n">
        <x:v>10</x:v>
      </x:c>
      <x:c r="D62" s="31" t="n">
        <x:v>449000</x:v>
      </x:c>
      <x:c r="E62" s="31" t="str">
        <x:v>observed</x:v>
      </x:c>
    </x:row>
    <x:row r="63">
      <x:c r="A63" s="31" t="str">
        <x:v>Mahindra</x:v>
      </x:c>
      <x:c r="B63" s="31" t="str">
        <x:v>Diesel</x:v>
      </x:c>
      <x:c r="C63" s="31" t="n">
        <x:v>11</x:v>
      </x:c>
      <x:c r="D63" s="31" t="n">
        <x:v>400000</x:v>
      </x:c>
      <x:c r="E63" s="31" t="str">
        <x:v>observed</x:v>
      </x:c>
    </x:row>
    <x:row r="64">
      <x:c r="A64" s="31" t="str">
        <x:v>Mahindra</x:v>
      </x:c>
      <x:c r="B64" s="31" t="str">
        <x:v>Diesel</x:v>
      </x:c>
      <x:c r="C64" s="31" t="n">
        <x:v>12</x:v>
      </x:c>
      <x:c r="D64" s="31" t="n">
        <x:v>385000</x:v>
      </x:c>
      <x:c r="E64" s="31" t="str">
        <x:v>observed</x:v>
      </x:c>
    </x:row>
    <x:row r="65">
      <x:c r="A65" s="31" t="str">
        <x:v>Mahindra</x:v>
      </x:c>
      <x:c r="B65" s="31" t="str">
        <x:v>Diesel</x:v>
      </x:c>
      <x:c r="C65" s="31" t="n">
        <x:v>13</x:v>
      </x:c>
      <x:c r="D65" s="31" t="n">
        <x:v>325000</x:v>
      </x:c>
      <x:c r="E65" s="31" t="str">
        <x:v>observed</x:v>
      </x:c>
    </x:row>
    <x:row r="66">
      <x:c r="A66" s="31" t="str">
        <x:v>Mahindra</x:v>
      </x:c>
      <x:c r="B66" s="31" t="str">
        <x:v>Diesel</x:v>
      </x:c>
      <x:c r="C66" s="31" t="n">
        <x:v>14</x:v>
      </x:c>
      <x:c r="D66" s="31" t="n">
        <x:v>262500</x:v>
      </x:c>
      <x:c r="E66" s="31" t="str">
        <x:v>observed</x:v>
      </x:c>
    </x:row>
    <x:row r="67">
      <x:c r="A67" s="31" t="str">
        <x:v>Mahindra</x:v>
      </x:c>
      <x:c r="B67" s="31" t="str">
        <x:v>Diesel</x:v>
      </x:c>
      <x:c r="C67" s="31" t="n">
        <x:v>15</x:v>
      </x:c>
      <x:c r="D67" s="31" t="n">
        <x:v>255000</x:v>
      </x:c>
      <x:c r="E67" s="31" t="str">
        <x:v>observed</x:v>
      </x:c>
    </x:row>
    <x:row r="68">
      <x:c r="A68" s="31" t="str">
        <x:v>Mahindra</x:v>
      </x:c>
      <x:c r="B68" s="31" t="str">
        <x:v>Diesel</x:v>
      </x:c>
      <x:c r="C68" s="31" t="n">
        <x:v>16</x:v>
      </x:c>
      <x:c r="D68" s="31" t="n">
        <x:v>300000</x:v>
      </x:c>
      <x:c r="E68" s="31" t="str">
        <x:v>observed</x:v>
      </x:c>
    </x:row>
    <x:row r="69">
      <x:c r="A69" s="31" t="str">
        <x:v>Mahindra</x:v>
      </x:c>
      <x:c r="B69" s="31" t="str">
        <x:v>Diesel</x:v>
      </x:c>
      <x:c r="C69" s="31" t="n">
        <x:v>17</x:v>
      </x:c>
      <x:c r="D69" s="31" t="n">
        <x:v>145000</x:v>
      </x:c>
      <x:c r="E69" s="31" t="str">
        <x:v>observed</x:v>
      </x:c>
    </x:row>
    <x:row r="70">
      <x:c r="A70" s="31" t="str">
        <x:v>Mahindra</x:v>
      </x:c>
      <x:c r="B70" s="31" t="str">
        <x:v>Diesel</x:v>
      </x:c>
      <x:c r="C70" s="31" t="n">
        <x:v>18</x:v>
      </x:c>
      <x:c r="D70" s="31" t="n">
        <x:v>150000</x:v>
      </x:c>
      <x:c r="E70" s="31" t="str">
        <x:v>observed</x:v>
      </x:c>
    </x:row>
    <x:row r="71">
      <x:c r="A71" s="31" t="str">
        <x:v>Hyundai</x:v>
      </x:c>
      <x:c r="B71" s="31" t="str">
        <x:v>Diesel</x:v>
      </x:c>
      <x:c r="C71" s="31" t="n">
        <x:v>1</x:v>
      </x:c>
      <x:c r="D71" s="31" t="n">
        <x:v>1000000</x:v>
      </x:c>
      <x:c r="E71" s="31" t="str">
        <x:v>observed</x:v>
      </x:c>
    </x:row>
    <x:row r="72">
      <x:c r="A72" s="31" t="str">
        <x:v>Hyundai</x:v>
      </x:c>
      <x:c r="B72" s="31" t="str">
        <x:v>Diesel</x:v>
      </x:c>
      <x:c r="C72" s="31" t="n">
        <x:v>2</x:v>
      </x:c>
      <x:c r="D72" s="31" t="n">
        <x:v>1050000</x:v>
      </x:c>
      <x:c r="E72" s="31" t="str">
        <x:v>observed</x:v>
      </x:c>
    </x:row>
    <x:row r="73">
      <x:c r="A73" s="31" t="str">
        <x:v>Hyundai</x:v>
      </x:c>
      <x:c r="B73" s="31" t="str">
        <x:v>Diesel</x:v>
      </x:c>
      <x:c r="C73" s="31" t="n">
        <x:v>3</x:v>
      </x:c>
      <x:c r="D73" s="31" t="n">
        <x:v>920000</x:v>
      </x:c>
      <x:c r="E73" s="31" t="str">
        <x:v>observed</x:v>
      </x:c>
    </x:row>
    <x:row r="74">
      <x:c r="A74" s="31" t="str">
        <x:v>Hyundai</x:v>
      </x:c>
      <x:c r="B74" s="31" t="str">
        <x:v>Diesel</x:v>
      </x:c>
      <x:c r="C74" s="31" t="n">
        <x:v>4</x:v>
      </x:c>
      <x:c r="D74" s="31" t="n">
        <x:v>850000</x:v>
      </x:c>
      <x:c r="E74" s="31" t="str">
        <x:v>observed</x:v>
      </x:c>
    </x:row>
    <x:row r="75">
      <x:c r="A75" s="31" t="str">
        <x:v>Hyundai</x:v>
      </x:c>
      <x:c r="B75" s="31" t="str">
        <x:v>Diesel</x:v>
      </x:c>
      <x:c r="C75" s="31" t="n">
        <x:v>5</x:v>
      </x:c>
      <x:c r="D75" s="31" t="n">
        <x:v>739500</x:v>
      </x:c>
      <x:c r="E75" s="31" t="str">
        <x:v>observed</x:v>
      </x:c>
    </x:row>
    <x:row r="76">
      <x:c r="A76" s="31" t="str">
        <x:v>Hyundai</x:v>
      </x:c>
      <x:c r="B76" s="31" t="str">
        <x:v>Diesel</x:v>
      </x:c>
      <x:c r="C76" s="31" t="n">
        <x:v>6</x:v>
      </x:c>
      <x:c r="D76" s="31" t="n">
        <x:v>625000</x:v>
      </x:c>
      <x:c r="E76" s="31" t="str">
        <x:v>observed</x:v>
      </x:c>
    </x:row>
    <x:row r="77">
      <x:c r="A77" s="31" t="str">
        <x:v>Hyundai</x:v>
      </x:c>
      <x:c r="B77" s="31" t="str">
        <x:v>Diesel</x:v>
      </x:c>
      <x:c r="C77" s="31" t="n">
        <x:v>7</x:v>
      </x:c>
      <x:c r="D77" s="31" t="n">
        <x:v>482500</x:v>
      </x:c>
      <x:c r="E77" s="31" t="str">
        <x:v>observed</x:v>
      </x:c>
    </x:row>
    <x:row r="78">
      <x:c r="A78" s="31" t="str">
        <x:v>Hyundai</x:v>
      </x:c>
      <x:c r="B78" s="31" t="str">
        <x:v>Diesel</x:v>
      </x:c>
      <x:c r="C78" s="31" t="n">
        <x:v>8</x:v>
      </x:c>
      <x:c r="D78" s="31" t="n">
        <x:v>450000</x:v>
      </x:c>
      <x:c r="E78" s="31" t="str">
        <x:v>observed</x:v>
      </x:c>
    </x:row>
    <x:row r="79">
      <x:c r="A79" s="31" t="str">
        <x:v>Hyundai</x:v>
      </x:c>
      <x:c r="B79" s="31" t="str">
        <x:v>Diesel</x:v>
      </x:c>
      <x:c r="C79" s="31" t="n">
        <x:v>9</x:v>
      </x:c>
      <x:c r="D79" s="31" t="n">
        <x:v>450000</x:v>
      </x:c>
      <x:c r="E79" s="31" t="str">
        <x:v>observed</x:v>
      </x:c>
    </x:row>
    <x:row r="80">
      <x:c r="A80" s="31" t="str">
        <x:v>Hyundai</x:v>
      </x:c>
      <x:c r="B80" s="31" t="str">
        <x:v>Diesel</x:v>
      </x:c>
      <x:c r="C80" s="31" t="n">
        <x:v>10</x:v>
      </x:c>
      <x:c r="D80" s="31" t="n">
        <x:v>394500</x:v>
      </x:c>
      <x:c r="E80" s="31" t="str">
        <x:v>observed</x:v>
      </x:c>
    </x:row>
    <x:row r="81">
      <x:c r="A81" s="31" t="str">
        <x:v>Hyundai</x:v>
      </x:c>
      <x:c r="B81" s="31" t="str">
        <x:v>Diesel</x:v>
      </x:c>
      <x:c r="C81" s="31" t="n">
        <x:v>11</x:v>
      </x:c>
      <x:c r="D81" s="31" t="n">
        <x:v>300000</x:v>
      </x:c>
      <x:c r="E81" s="31" t="str">
        <x:v>observed</x:v>
      </x:c>
    </x:row>
    <x:row r="82">
      <x:c r="A82" s="31" t="str">
        <x:v>Hyundai</x:v>
      </x:c>
      <x:c r="B82" s="31" t="str">
        <x:v>Diesel</x:v>
      </x:c>
      <x:c r="C82" s="31" t="n">
        <x:v>12</x:v>
      </x:c>
      <x:c r="D82" s="31" t="n">
        <x:v>275000</x:v>
      </x:c>
      <x:c r="E82" s="31" t="str">
        <x:v>observed</x:v>
      </x:c>
    </x:row>
    <x:row r="83">
      <x:c r="A83" s="31" t="str">
        <x:v>Hyundai</x:v>
      </x:c>
      <x:c r="B83" s="31" t="str">
        <x:v>Diesel</x:v>
      </x:c>
      <x:c r="C83" s="31" t="n">
        <x:v>13</x:v>
      </x:c>
      <x:c r="D83" s="31" t="n">
        <x:v>222500</x:v>
      </x:c>
      <x:c r="E83" s="31" t="str">
        <x:v>observed</x:v>
      </x:c>
    </x:row>
    <x:row r="84">
      <x:c r="A84" s="31" t="str">
        <x:v>Hyundai</x:v>
      </x:c>
      <x:c r="B84" s="31" t="str">
        <x:v>Diesel</x:v>
      </x:c>
      <x:c r="C84" s="31" t="n">
        <x:v>14</x:v>
      </x:c>
      <x:c r="D84" s="31" t="n">
        <x:v>120000</x:v>
      </x:c>
      <x:c r="E84" s="31" t="str">
        <x:v>observed</x:v>
      </x:c>
    </x:row>
    <x:row r="85">
      <x:c r="A85" s="31" t="str">
        <x:v>Hyundai</x:v>
      </x:c>
      <x:c r="B85" s="31" t="str">
        <x:v>Diesel</x:v>
      </x:c>
      <x:c r="C85" s="31" t="n">
        <x:v>15</x:v>
      </x:c>
      <x:c r="D85" s="31" t="n">
        <x:v>135000</x:v>
      </x:c>
      <x:c r="E85" s="31" t="str">
        <x:v>observed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0" t="str">
        <x:v>brand</x:v>
      </x:c>
      <x:c r="B1" s="30" t="str">
        <x:v>fuel_type</x:v>
      </x:c>
      <x:c r="C1" s="30" t="str">
        <x:v>forecast_vehicle_age</x:v>
      </x:c>
      <x:c r="D1" s="30" t="str">
        <x:v>forecast_price</x:v>
      </x:c>
      <x:c r="E1" s="30" t="str">
        <x:v>method</x:v>
      </x:c>
    </x:row>
    <x:row r="2">
      <x:c r="A2" s="31" t="str">
        <x:v>Toyota</x:v>
      </x:c>
      <x:c r="B2" s="31" t="str">
        <x:v>Diesel</x:v>
      </x:c>
      <x:c r="C2" s="31" t="n">
        <x:v>16</x:v>
      </x:c>
      <x:c r="D2" s="31" t="n">
        <x:v>391344.1908363882</x:v>
      </x:c>
      <x:c r="E2" s="31" t="str">
        <x:v>Simple Exponential Smoothing</x:v>
      </x:c>
    </x:row>
    <x:row r="3">
      <x:c r="A3" s="31" t="str">
        <x:v>Toyota</x:v>
      </x:c>
      <x:c r="B3" s="31" t="str">
        <x:v>Diesel</x:v>
      </x:c>
      <x:c r="C3" s="31" t="n">
        <x:v>17</x:v>
      </x:c>
      <x:c r="D3" s="31" t="n">
        <x:v>391344.1908363882</x:v>
      </x:c>
      <x:c r="E3" s="31" t="str">
        <x:v>Simple Exponential Smoothing</x:v>
      </x:c>
    </x:row>
    <x:row r="4">
      <x:c r="A4" s="31" t="str">
        <x:v>Maruti</x:v>
      </x:c>
      <x:c r="B4" s="31" t="str">
        <x:v>Diesel</x:v>
      </x:c>
      <x:c r="C4" s="31" t="n">
        <x:v>15</x:v>
      </x:c>
      <x:c r="D4" s="31" t="n">
        <x:v>215000.00104308128</x:v>
      </x:c>
      <x:c r="E4" s="31" t="str">
        <x:v>Simple Exponential Smoothing</x:v>
      </x:c>
    </x:row>
    <x:row r="5">
      <x:c r="A5" s="31" t="str">
        <x:v>Maruti</x:v>
      </x:c>
      <x:c r="B5" s="31" t="str">
        <x:v>Diesel</x:v>
      </x:c>
      <x:c r="C5" s="31" t="n">
        <x:v>16</x:v>
      </x:c>
      <x:c r="D5" s="31" t="n">
        <x:v>215000.00104308128</x:v>
      </x:c>
      <x:c r="E5" s="31" t="str">
        <x:v>Simple Exponential Smoothing</x:v>
      </x:c>
    </x:row>
    <x:row r="6">
      <x:c r="A6" s="31" t="str">
        <x:v>Maruti</x:v>
      </x:c>
      <x:c r="B6" s="31" t="str">
        <x:v>Petrol</x:v>
      </x:c>
      <x:c r="C6" s="31" t="n">
        <x:v>30</x:v>
      </x:c>
      <x:c r="D6" s="31" t="n">
        <x:v>60000.00037252903</x:v>
      </x:c>
      <x:c r="E6" s="31" t="str">
        <x:v>Simple Exponential Smoothing</x:v>
      </x:c>
    </x:row>
    <x:row r="7">
      <x:c r="A7" s="31" t="str">
        <x:v>Maruti</x:v>
      </x:c>
      <x:c r="B7" s="31" t="str">
        <x:v>Petrol</x:v>
      </x:c>
      <x:c r="C7" s="31" t="n">
        <x:v>31</x:v>
      </x:c>
      <x:c r="D7" s="31" t="n">
        <x:v>60000.00037252903</x:v>
      </x:c>
      <x:c r="E7" s="31" t="str">
        <x:v>Simple Exponential Smoothing</x:v>
      </x:c>
    </x:row>
    <x:row r="8">
      <x:c r="A8" s="31" t="str">
        <x:v>Mahindra</x:v>
      </x:c>
      <x:c r="B8" s="31" t="str">
        <x:v>Diesel</x:v>
      </x:c>
      <x:c r="C8" s="31" t="n">
        <x:v>19</x:v>
      </x:c>
      <x:c r="D8" s="31" t="n">
        <x:v>149999.99992549422</x:v>
      </x:c>
      <x:c r="E8" s="31" t="str">
        <x:v>Simple Exponential Smoothing</x:v>
      </x:c>
    </x:row>
    <x:row r="9">
      <x:c r="A9" s="31" t="str">
        <x:v>Mahindra</x:v>
      </x:c>
      <x:c r="B9" s="31" t="str">
        <x:v>Diesel</x:v>
      </x:c>
      <x:c r="C9" s="31" t="n">
        <x:v>20</x:v>
      </x:c>
      <x:c r="D9" s="31" t="n">
        <x:v>149999.99992549422</x:v>
      </x:c>
      <x:c r="E9" s="31" t="str">
        <x:v>Simple Exponential Smoothing</x:v>
      </x:c>
    </x:row>
    <x:row r="10">
      <x:c r="A10" s="31" t="str">
        <x:v>Hyundai</x:v>
      </x:c>
      <x:c r="B10" s="31" t="str">
        <x:v>Diesel</x:v>
      </x:c>
      <x:c r="C10" s="31" t="n">
        <x:v>16</x:v>
      </x:c>
      <x:c r="D10" s="31" t="n">
        <x:v>134999.9997764826</x:v>
      </x:c>
      <x:c r="E10" s="31" t="str">
        <x:v>Simple Exponential Smoothing</x:v>
      </x:c>
    </x:row>
    <x:row r="11">
      <x:c r="A11" s="31" t="str">
        <x:v>Hyundai</x:v>
      </x:c>
      <x:c r="B11" s="31" t="str">
        <x:v>Diesel</x:v>
      </x:c>
      <x:c r="C11" s="31" t="n">
        <x:v>17</x:v>
      </x:c>
      <x:c r="D11" s="31" t="n">
        <x:v>134999.9997764826</x:v>
      </x:c>
      <x:c r="E11" s="31" t="str">
        <x:v>Simple Exponential Smoothing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0" t="str">
        <x:v>brand</x:v>
      </x:c>
      <x:c r="B1" s="30" t="str">
        <x:v>fuel_type</x:v>
      </x:c>
      <x:c r="C1" s="30" t="str">
        <x:v>holdout_start_age</x:v>
      </x:c>
      <x:c r="D1" s="30" t="str">
        <x:v>holdout_end_age</x:v>
      </x:c>
      <x:c r="E1" s="30" t="str">
        <x:v>baseline</x:v>
      </x:c>
      <x:c r="F1" s="30" t="str">
        <x:v>baseline_mae</x:v>
      </x:c>
      <x:c r="G1" s="30" t="str">
        <x:v>baseline_rmse</x:v>
      </x:c>
      <x:c r="H1" s="30" t="str">
        <x:v>method</x:v>
      </x:c>
      <x:c r="I1" s="30" t="str">
        <x:v>ses_mae</x:v>
      </x:c>
      <x:c r="J1" s="30" t="str">
        <x:v>ses_rmse</x:v>
      </x:c>
      <x:c r="K1" s="30" t="str">
        <x:v>mae_improvement_pct</x:v>
      </x:c>
      <x:c r="L1" s="30" t="str">
        <x:v>rmse_improvement_pct</x:v>
      </x:c>
    </x:row>
    <x:row r="2">
      <x:c r="A2" s="31" t="str">
        <x:v>Toyota</x:v>
      </x:c>
      <x:c r="B2" s="31" t="str">
        <x:v>Diesel</x:v>
      </x:c>
      <x:c r="C2" s="31" t="n">
        <x:v>13</x:v>
      </x:c>
      <x:c r="D2" s="31" t="n">
        <x:v>15</x:v>
      </x:c>
      <x:c r="E2" s="31" t="str">
        <x:v>3-point moving average</x:v>
      </x:c>
      <x:c r="F2" s="31" t="n">
        <x:v>135944.44444444447</x:v>
      </x:c>
      <x:c r="G2" s="31" t="n">
        <x:v>138957.26094871896</x:v>
      </x:c>
      <x:c r="H2" s="31" t="str">
        <x:v>Simple Exponential Smoothing</x:v>
      </x:c>
      <x:c r="I2" s="31" t="n">
        <x:v>96833.33623905976</x:v>
      </x:c>
      <x:c r="J2" s="31" t="n">
        <x:v>104948.79972035107</x:v>
      </x:c>
      <x:c r="K2" s="31" t="n">
        <x:v>28.769920216466065</x:v>
      </x:c>
      <x:c r="L2" s="31" t="n">
        <x:v>24.4740440306451</x:v>
      </x:c>
    </x:row>
    <x:row r="3">
      <x:c r="A3" s="31" t="str">
        <x:v>Maruti</x:v>
      </x:c>
      <x:c r="B3" s="31" t="str">
        <x:v>Diesel</x:v>
      </x:c>
      <x:c r="C3" s="31" t="n">
        <x:v>12</x:v>
      </x:c>
      <x:c r="D3" s="31" t="n">
        <x:v>14</x:v>
      </x:c>
      <x:c r="E3" s="31" t="str">
        <x:v>3-point moving average</x:v>
      </x:c>
      <x:c r="F3" s="31" t="n">
        <x:v>60277.777777777774</x:v>
      </x:c>
      <x:c r="G3" s="31" t="n">
        <x:v>69607.03189253862</x:v>
      </x:c>
      <x:c r="H3" s="31" t="str">
        <x:v>Simple Exponential Smoothing</x:v>
      </x:c>
      <x:c r="I3" s="31" t="n">
        <x:v>49166.667411724724</x:v>
      </x:c>
      <x:c r="J3" s="31" t="n">
        <x:v>56880.72379928643</x:v>
      </x:c>
      <x:c r="K3" s="31" t="n">
        <x:v>18.433178487461284</x:v>
      </x:c>
      <x:c r="L3" s="31" t="n">
        <x:v>18.283078228216137</x:v>
      </x:c>
    </x:row>
    <x:row r="4">
      <x:c r="A4" s="31" t="str">
        <x:v>Maruti</x:v>
      </x:c>
      <x:c r="B4" s="31" t="str">
        <x:v>Petrol</x:v>
      </x:c>
      <x:c r="C4" s="31" t="n">
        <x:v>19</x:v>
      </x:c>
      <x:c r="D4" s="31" t="n">
        <x:v>29</x:v>
      </x:c>
      <x:c r="E4" s="31" t="str">
        <x:v>3-point moving average</x:v>
      </x:c>
      <x:c r="F4" s="31" t="n">
        <x:v>10000</x:v>
      </x:c>
      <x:c r="G4" s="31" t="n">
        <x:v>12322.818340454907</x:v>
      </x:c>
      <x:c r="H4" s="31" t="str">
        <x:v>Simple Exponential Smoothing</x:v>
      </x:c>
      <x:c r="I4" s="31" t="n">
        <x:v>13333.333283662796</x:v>
      </x:c>
      <x:c r="J4" s="31" t="n">
        <x:v>13540.063934358355</x:v>
      </x:c>
      <x:c r="K4" s="31" t="n">
        <x:v>-33.33333283662796</x:v>
      </x:c>
      <x:c r="L4" s="31" t="n">
        <x:v>-9.877980509599173</x:v>
      </x:c>
    </x:row>
    <x:row r="5">
      <x:c r="A5" s="31" t="str">
        <x:v>Mahindra</x:v>
      </x:c>
      <x:c r="B5" s="31" t="str">
        <x:v>Diesel</x:v>
      </x:c>
      <x:c r="C5" s="31" t="n">
        <x:v>16</x:v>
      </x:c>
      <x:c r="D5" s="31" t="n">
        <x:v>18</x:v>
      </x:c>
      <x:c r="E5" s="31" t="str">
        <x:v>3-point moving average</x:v>
      </x:c>
      <x:c r="F5" s="31" t="n">
        <x:v>76666.66666666667</x:v>
      </x:c>
      <x:c r="G5" s="31" t="n">
        <x:v>88634.18369070998</x:v>
      </x:c>
      <x:c r="H5" s="31" t="str">
        <x:v>Simple Exponential Smoothing</x:v>
      </x:c>
      <x:c r="I5" s="31" t="n">
        <x:v>86666.66670391957</x:v>
      </x:c>
      <x:c r="J5" s="31" t="n">
        <x:v>91560.5447013031</x:v>
      </x:c>
      <x:c r="K5" s="31" t="n">
        <x:v>-13.043478309460307</x:v>
      </x:c>
      <x:c r="L5" s="31" t="n">
        <x:v>-3.3016166999457974</x:v>
      </x:c>
    </x:row>
    <x:row r="6">
      <x:c r="A6" s="31" t="str">
        <x:v>Hyundai</x:v>
      </x:c>
      <x:c r="B6" s="31" t="str">
        <x:v>Diesel</x:v>
      </x:c>
      <x:c r="C6" s="31" t="n">
        <x:v>13</x:v>
      </x:c>
      <x:c r="D6" s="31" t="n">
        <x:v>15</x:v>
      </x:c>
      <x:c r="E6" s="31" t="str">
        <x:v>3-point moving average</x:v>
      </x:c>
      <x:c r="F6" s="31" t="n">
        <x:v>105777.7777777778</x:v>
      </x:c>
      <x:c r="G6" s="31" t="n">
        <x:v>110179.39916336448</x:v>
      </x:c>
      <x:c r="H6" s="31" t="str">
        <x:v>Simple Exponential Smoothing</x:v>
      </x:c>
      <x:c r="I6" s="31" t="n">
        <x:v>115833.33370586236</x:v>
      </x:c>
      <x:c r="J6" s="31" t="n">
        <x:v>124339.92421169166</x:v>
      </x:c>
      <x:c r="K6" s="31" t="n">
        <x:v>-9.506302873189187</x:v>
      </x:c>
      <x:c r="L6" s="31" t="n">
        <x:v>-12.852243845812936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0" t="str">
        <x:v>state</x:v>
      </x:c>
      <x:c r="B1" s="30" t="str">
        <x:v>vahan_registration_count</x:v>
      </x:c>
      <x:c r="C1" s="30" t="str">
        <x:v>registration_share_pct</x:v>
      </x:c>
      <x:c r="D1" s="30" t="str">
        <x:v>matched_car_registration_count</x:v>
      </x:c>
      <x:c r="E1" s="30" t="str">
        <x:v>pricing_attractiveness_proxy</x:v>
      </x:c>
      <x:c r="F1" s="30" t="str">
        <x:v>car_registration_coverage_pct</x:v>
      </x:c>
      <x:c r="G1" s="30" t="str">
        <x:v>matched_car_registration_count_score</x:v>
      </x:c>
      <x:c r="H1" s="30" t="str">
        <x:v>pricing_attractiveness_proxy_score</x:v>
      </x:c>
      <x:c r="I1" s="30" t="str">
        <x:v>YoY_growth_pct</x:v>
      </x:c>
      <x:c r="J1" s="30" t="str">
        <x:v>YoY_growth_score</x:v>
      </x:c>
      <x:c r="K1" s="30" t="str">
        <x:v>Expansion Opportunity Score</x:v>
      </x:c>
    </x:row>
    <x:row r="2">
      <x:c r="A2" s="31" t="str">
        <x:v>Uttar Pradesh</x:v>
      </x:c>
      <x:c r="B2" s="31" t="n">
        <x:v>56241862</x:v>
      </x:c>
      <x:c r="C2" s="31" t="n">
        <x:v>12.558222426211657</x:v>
      </x:c>
      <x:c r="D2" s="31" t="n">
        <x:v>18856275</x:v>
      </x:c>
      <x:c r="E2" s="31" t="n">
        <x:v>601688.8490966535</x:v>
      </x:c>
      <x:c r="F2" s="31" t="n">
        <x:v>33.52711722097679</x:v>
      </x:c>
      <x:c r="G2" s="31" t="n">
        <x:v>100</x:v>
      </x:c>
      <x:c r="H2" s="31" t="n">
        <x:v>61.94429912437365</x:v>
      </x:c>
      <x:c r="I2" s="31"/>
      <x:c r="J2" s="31"/>
      <x:c r="K2" s="31" t="n">
        <x:v>86.68050469353078</x:v>
      </x:c>
    </x:row>
    <x:row r="3">
      <x:c r="A3" s="31" t="str">
        <x:v>Maharashtra</x:v>
      </x:c>
      <x:c r="B3" s="31" t="n">
        <x:v>44263673</x:v>
      </x:c>
      <x:c r="C3" s="31" t="n">
        <x:v>9.883617490030812</x:v>
      </x:c>
      <x:c r="D3" s="31" t="n">
        <x:v>25296196</x:v>
      </x:c>
      <x:c r="E3" s="31" t="n">
        <x:v>596382.070391137</x:v>
      </x:c>
      <x:c r="F3" s="31" t="n">
        <x:v>57.14888594988491</x:v>
      </x:c>
      <x:c r="G3" s="31" t="n">
        <x:v>100</x:v>
      </x:c>
      <x:c r="H3" s="31" t="n">
        <x:v>54.1280717042713</x:v>
      </x:c>
      <x:c r="I3" s="31"/>
      <x:c r="J3" s="31"/>
      <x:c r="K3" s="31" t="n">
        <x:v>83.94482509649495</x:v>
      </x:c>
    </x:row>
    <x:row r="4">
      <x:c r="A4" s="31" t="str">
        <x:v>Karnataka</x:v>
      </x:c>
      <x:c r="B4" s="31" t="n">
        <x:v>35727394</x:v>
      </x:c>
      <x:c r="C4" s="31" t="n">
        <x:v>7.977555233873653</x:v>
      </x:c>
      <x:c r="D4" s="31" t="n">
        <x:v>16197918</x:v>
      </x:c>
      <x:c r="E4" s="31" t="n">
        <x:v>600567.6947802798</x:v>
      </x:c>
      <x:c r="F4" s="31" t="n">
        <x:v>45.33753007566127</x:v>
      </x:c>
      <x:c r="G4" s="31" t="n">
        <x:v>91.5507116408136</x:v>
      </x:c>
      <x:c r="H4" s="31" t="n">
        <x:v>60.29297774918664</x:v>
      </x:c>
      <x:c r="I4" s="31"/>
      <x:c r="J4" s="31"/>
      <x:c r="K4" s="31" t="n">
        <x:v>80.61050477874417</x:v>
      </x:c>
    </x:row>
    <x:row r="5">
      <x:c r="A5" s="31" t="str">
        <x:v>Gujarat</x:v>
      </x:c>
      <x:c r="B5" s="31" t="n">
        <x:v>29290195</x:v>
      </x:c>
      <x:c r="C5" s="31" t="n">
        <x:v>6.540195694749802</x:v>
      </x:c>
      <x:c r="D5" s="31" t="n">
        <x:v>17294547</x:v>
      </x:c>
      <x:c r="E5" s="31" t="n">
        <x:v>591945.795747064</x:v>
      </x:c>
      <x:c r="F5" s="31" t="n">
        <x:v>59.04551676764187</x:v>
      </x:c>
      <x:c r="G5" s="31" t="n">
        <x:v>97.7816158498852</x:v>
      </x:c>
      <x:c r="H5" s="31" t="n">
        <x:v>47.59398889428661</x:v>
      </x:c>
      <x:c r="I5" s="31"/>
      <x:c r="J5" s="31"/>
      <x:c r="K5" s="31" t="n">
        <x:v>80.2159464154257</x:v>
      </x:c>
    </x:row>
    <x:row r="6">
      <x:c r="A6" s="31" t="str">
        <x:v>Tamil Nadu</x:v>
      </x:c>
      <x:c r="B6" s="31" t="n">
        <x:v>36794900</x:v>
      </x:c>
      <x:c r="C6" s="31" t="n">
        <x:v>8.215918213202386</x:v>
      </x:c>
      <x:c r="D6" s="31" t="n">
        <x:v>14797647</x:v>
      </x:c>
      <x:c r="E6" s="31" t="n">
        <x:v>598744.132867881</x:v>
      </x:c>
      <x:c r="F6" s="31" t="n">
        <x:v>40.21657077475411</x:v>
      </x:c>
      <x:c r="G6" s="31" t="n">
        <x:v>83.59455284167471</x:v>
      </x:c>
      <x:c r="H6" s="31" t="n">
        <x:v>57.60709702702103</x:v>
      </x:c>
      <x:c r="I6" s="31"/>
      <x:c r="J6" s="31"/>
      <x:c r="K6" s="31" t="n">
        <x:v>74.49894330654593</x:v>
      </x:c>
    </x:row>
    <x:row r="7">
      <x:c r="A7" s="31" t="str">
        <x:v>Rajasthan</x:v>
      </x:c>
      <x:c r="B7" s="31" t="n">
        <x:v>24307654</x:v>
      </x:c>
      <x:c r="C7" s="31" t="n">
        <x:v>5.427646147124244</x:v>
      </x:c>
      <x:c r="D7" s="31" t="n">
        <x:v>9796005</x:v>
      </x:c>
      <x:c r="E7" s="31" t="n">
        <x:v>603275.4347307908</x:v>
      </x:c>
      <x:c r="F7" s="31" t="n">
        <x:v>40.300084080512256</x:v>
      </x:c>
      <x:c r="G7" s="31" t="n">
        <x:v>55.17586959504413</x:v>
      </x:c>
      <x:c r="H7" s="31" t="n">
        <x:v>64.28114315463121</x:v>
      </x:c>
      <x:c r="I7" s="31"/>
      <x:c r="J7" s="31"/>
      <x:c r="K7" s="31" t="n">
        <x:v>58.36271534089961</x:v>
      </x:c>
    </x:row>
    <x:row r="8">
      <x:c r="A8" s="31" t="str">
        <x:v>Madhya Pradesh</x:v>
      </x:c>
      <x:c r="B8" s="31" t="n">
        <x:v>26388460</x:v>
      </x:c>
      <x:c r="C8" s="31" t="n">
        <x:v>5.892268470151098</x:v>
      </x:c>
      <x:c r="D8" s="31" t="n">
        <x:v>10110261</x:v>
      </x:c>
      <x:c r="E8" s="31" t="n">
        <x:v>597181.3247452267</x:v>
      </x:c>
      <x:c r="F8" s="31" t="n">
        <x:v>38.3131906901729</x:v>
      </x:c>
      <x:c r="G8" s="31" t="n">
        <x:v>56.961431560965146</x:v>
      </x:c>
      <x:c r="H8" s="31" t="n">
        <x:v>55.30527432468158</x:v>
      </x:c>
      <x:c r="I8" s="31"/>
      <x:c r="J8" s="31"/>
      <x:c r="K8" s="31" t="n">
        <x:v>56.38177652826589</x:v>
      </x:c>
    </x:row>
    <x:row r="9">
      <x:c r="A9" s="31" t="str">
        <x:v>Kerala</x:v>
      </x:c>
      <x:c r="B9" s="31" t="n">
        <x:v>19560011</x:v>
      </x:c>
      <x:c r="C9" s="31" t="n">
        <x:v>4.367546878109168</x:v>
      </x:c>
      <x:c r="D9" s="31" t="n">
        <x:v>10679096</x:v>
      </x:c>
      <x:c r="E9" s="31" t="n">
        <x:v>591720.6817880465</x:v>
      </x:c>
      <x:c r="F9" s="31" t="n">
        <x:v>54.59657461337829</x:v>
      </x:c>
      <x:c r="G9" s="31" t="n">
        <x:v>60.19347849367187</x:v>
      </x:c>
      <x:c r="H9" s="31" t="n">
        <x:v>47.2624239286528</x:v>
      </x:c>
      <x:c r="I9" s="31"/>
      <x:c r="J9" s="31"/>
      <x:c r="K9" s="31" t="n">
        <x:v>55.66760939591519</x:v>
      </x:c>
    </x:row>
    <x:row r="10">
      <x:c r="A10" s="31" t="str">
        <x:v>Telangana</x:v>
      </x:c>
      <x:c r="B10" s="31" t="n">
        <x:v>15717070</x:v>
      </x:c>
      <x:c r="C10" s="31" t="n">
        <x:v>3.5094581496668518</x:v>
      </x:c>
      <x:c r="D10" s="31" t="n">
        <x:v>7779471</x:v>
      </x:c>
      <x:c r="E10" s="31" t="n">
        <x:v>607677.52968036</x:v>
      </x:c>
      <x:c r="F10" s="31" t="n">
        <x:v>49.4969545850467</x:v>
      </x:c>
      <x:c r="G10" s="31" t="n">
        <x:v>43.71818409854898</x:v>
      </x:c>
      <x:c r="H10" s="31" t="n">
        <x:v>70.76488351014095</x:v>
      </x:c>
      <x:c r="I10" s="31"/>
      <x:c r="J10" s="31"/>
      <x:c r="K10" s="31" t="n">
        <x:v>53.18452889260617</x:v>
      </x:c>
    </x:row>
    <x:row r="11">
      <x:c r="A11" s="31" t="str">
        <x:v>Punjab</x:v>
      </x:c>
      <x:c r="B11" s="31" t="n">
        <x:v>15688462</x:v>
      </x:c>
      <x:c r="C11" s="31" t="n">
        <x:v>3.5030702810153995</x:v>
      </x:c>
      <x:c r="D11" s="31" t="n">
        <x:v>6338474</x:v>
      </x:c>
      <x:c r="E11" s="31" t="n">
        <x:v>613008.8644364559</x:v>
      </x:c>
      <x:c r="F11" s="31" t="n">
        <x:v>40.40213757091039</x:v>
      </x:c>
      <x:c r="G11" s="31" t="n">
        <x:v>35.53062543234597</x:v>
      </x:c>
      <x:c r="H11" s="31" t="n">
        <x:v>78.61727894977437</x:v>
      </x:c>
      <x:c r="I11" s="31"/>
      <x:c r="J11" s="31"/>
      <x:c r="K11" s="31" t="n">
        <x:v>50.61095416344591</x:v>
      </x:c>
    </x:row>
    <x:row r="12">
      <x:c r="A12" s="31" t="str">
        <x:v>Haryana</x:v>
      </x:c>
      <x:c r="B12" s="31" t="n">
        <x:v>15047522</x:v>
      </x:c>
      <x:c r="C12" s="31" t="n">
        <x:v>3.3599550498401576</x:v>
      </x:c>
      <x:c r="D12" s="31" t="n">
        <x:v>7302833</x:v>
      </x:c>
      <x:c r="E12" s="31" t="n">
        <x:v>605566.2679127401</x:v>
      </x:c>
      <x:c r="F12" s="31" t="n">
        <x:v>48.53179812596386</x:v>
      </x:c>
      <x:c r="G12" s="31" t="n">
        <x:v>41.00998860088891</x:v>
      </x:c>
      <x:c r="H12" s="31" t="n">
        <x:v>67.65525655284385</x:v>
      </x:c>
      <x:c r="I12" s="31"/>
      <x:c r="J12" s="31"/>
      <x:c r="K12" s="31" t="n">
        <x:v>50.33583238407314</x:v>
      </x:c>
    </x:row>
    <x:row r="13">
      <x:c r="A13" s="31" t="str">
        <x:v>Delhi</x:v>
      </x:c>
      <x:c r="B13" s="31" t="n">
        <x:v>16334793</x:v>
      </x:c>
      <x:c r="C13" s="31" t="n">
        <x:v>3.647389266381777</x:v>
      </x:c>
      <x:c r="D13" s="31" t="n">
        <x:v>7977573</x:v>
      </x:c>
      <x:c r="E13" s="31" t="n">
        <x:v>589406.8281794476</x:v>
      </x:c>
      <x:c r="F13" s="31" t="n">
        <x:v>48.83791915820421</x:v>
      </x:c>
      <x:c r="G13" s="31" t="n">
        <x:v>44.843774052512906</x:v>
      </x:c>
      <x:c r="H13" s="31" t="n">
        <x:v>43.854404294664015</x:v>
      </x:c>
      <x:c r="I13" s="31"/>
      <x:c r="J13" s="31"/>
      <x:c r="K13" s="31" t="n">
        <x:v>44.4974946372658</x:v>
      </x:c>
    </x:row>
    <x:row r="14">
      <x:c r="A14" s="31" t="str">
        <x:v>West Bengal</x:v>
      </x:c>
      <x:c r="B14" s="31" t="n">
        <x:v>19048533</x:v>
      </x:c>
      <x:c r="C14" s="31" t="n">
        <x:v>4.253339164109338</x:v>
      </x:c>
      <x:c r="D14" s="31" t="n">
        <x:v>7792484</x:v>
      </x:c>
      <x:c r="E14" s="31" t="n">
        <x:v>587233.1596702669</x:v>
      </x:c>
      <x:c r="F14" s="31" t="n">
        <x:v>40.90857810415112</x:v>
      </x:c>
      <x:c r="G14" s="31" t="n">
        <x:v>43.79212228226713</x:v>
      </x:c>
      <x:c r="H14" s="31" t="n">
        <x:v>40.65285994045727</x:v>
      </x:c>
      <x:c r="I14" s="31"/>
      <x:c r="J14" s="31"/>
      <x:c r="K14" s="31" t="n">
        <x:v>42.69338046263368</x:v>
      </x:c>
    </x:row>
    <x:row r="15">
      <x:c r="A15" s="31" t="str">
        <x:v>Bihar</x:v>
      </x:c>
      <x:c r="B15" s="31" t="n">
        <x:v>16242302</x:v>
      </x:c>
      <x:c r="C15" s="31" t="n">
        <x:v>3.62673698871674</x:v>
      </x:c>
      <x:c r="D15" s="31" t="n">
        <x:v>4814354</x:v>
      </x:c>
      <x:c r="E15" s="31" t="n">
        <x:v>607583.3709984766</x:v>
      </x:c>
      <x:c r="F15" s="31" t="n">
        <x:v>29.640835393899213</x:v>
      </x:c>
      <x:c r="G15" s="31" t="n">
        <x:v>26.870772626036644</x:v>
      </x:c>
      <x:c r="H15" s="31" t="n">
        <x:v>70.62619943981927</x:v>
      </x:c>
      <x:c r="I15" s="31"/>
      <x:c r="J15" s="31"/>
      <x:c r="K15" s="31" t="n">
        <x:v>42.18517201086056</x:v>
      </x:c>
    </x:row>
    <x:row r="16">
      <x:c r="A16" s="31" t="str">
        <x:v>Andhra Pradesh</x:v>
      </x:c>
      <x:c r="B16" s="31" t="n">
        <x:v>19496432</x:v>
      </x:c>
      <x:c r="C16" s="31" t="n">
        <x:v>4.353350349131588</x:v>
      </x:c>
      <x:c r="D16" s="31" t="n">
        <x:v>5836227</x:v>
      </x:c>
      <x:c r="E16" s="31" t="n">
        <x:v>592061.0736182812</x:v>
      </x:c>
      <x:c r="F16" s="31" t="n">
        <x:v>29.934846540125907</x:v>
      </x:c>
      <x:c r="G16" s="31" t="n">
        <x:v>32.67692290734109</x:v>
      </x:c>
      <x:c r="H16" s="31" t="n">
        <x:v>47.76377891341848</x:v>
      </x:c>
      <x:c r="I16" s="31"/>
      <x:c r="J16" s="31"/>
      <x:c r="K16" s="31" t="n">
        <x:v>37.95732250946817</x:v>
      </x:c>
    </x:row>
    <x:row r="17">
      <x:c r="A17" s="31" t="str">
        <x:v>Chandigarh</x:v>
      </x:c>
      <x:c r="B17" s="31" t="n">
        <x:v>997227</x:v>
      </x:c>
      <x:c r="C17" s="31" t="n">
        <x:v>0.2226704100839294</x:v>
      </x:c>
      <x:c r="D17" s="31" t="n">
        <x:v>729228</x:v>
      </x:c>
      <x:c r="E17" s="31" t="n">
        <x:v>652278.0598111976</x:v>
      </x:c>
      <x:c r="F17" s="31" t="n">
        <x:v>73.12557722564672</x:v>
      </x:c>
      <x:c r="G17" s="31" t="n">
        <x:v>3.6596148069494223</x:v>
      </x:c>
      <x:c r="H17" s="31" t="n">
        <x:v>100</x:v>
      </x:c>
      <x:c r="I17" s="31"/>
      <x:c r="J17" s="31"/>
      <x:c r="K17" s="31" t="n">
        <x:v>37.37874962451713</x:v>
      </x:c>
    </x:row>
    <x:row r="18">
      <x:c r="A18" s="31" t="str">
        <x:v>Chhattisgarh</x:v>
      </x:c>
      <x:c r="B18" s="31" t="n">
        <x:v>9611758</x:v>
      </x:c>
      <x:c r="C18" s="31" t="n">
        <x:v>2.146205523403889</x:v>
      </x:c>
      <x:c r="D18" s="31" t="n">
        <x:v>4027675</x:v>
      </x:c>
      <x:c r="E18" s="31" t="n">
        <x:v>601795.9507656402</x:v>
      </x:c>
      <x:c r="F18" s="31" t="n">
        <x:v>41.90362470632324</x:v>
      </x:c>
      <x:c r="G18" s="31" t="n">
        <x:v>22.40096424755292</x:v>
      </x:c>
      <x:c r="H18" s="31" t="n">
        <x:v>62.10204661081067</x:v>
      </x:c>
      <x:c r="I18" s="31"/>
      <x:c r="J18" s="31"/>
      <x:c r="K18" s="31" t="n">
        <x:v>36.29634307469313</x:v>
      </x:c>
    </x:row>
    <x:row r="19">
      <x:c r="A19" s="31" t="str">
        <x:v>Odisha</x:v>
      </x:c>
      <x:c r="B19" s="31" t="n">
        <x:v>13312424</x:v>
      </x:c>
      <x:c r="C19" s="31" t="n">
        <x:v>2.9725257251269217</x:v>
      </x:c>
      <x:c r="D19" s="31" t="n">
        <x:v>4361231</x:v>
      </x:c>
      <x:c r="E19" s="31" t="n">
        <x:v>599035.3588241485</x:v>
      </x:c>
      <x:c r="F19" s="31" t="n">
        <x:v>32.760607684971575</x:v>
      </x:c>
      <x:c r="G19" s="31" t="n">
        <x:v>24.296186318427463</x:v>
      </x:c>
      <x:c r="H19" s="31" t="n">
        <x:v>58.036036772041456</x:v>
      </x:c>
      <x:c r="I19" s="31"/>
      <x:c r="J19" s="31"/>
      <x:c r="K19" s="31" t="n">
        <x:v>36.10513397719236</x:v>
      </x:c>
    </x:row>
    <x:row r="20">
      <x:c r="A20" s="31" t="str">
        <x:v>UT of DNH and DD</x:v>
      </x:c>
      <x:c r="B20" s="31" t="n">
        <x:v>451843</x:v>
      </x:c>
      <x:c r="C20" s="31" t="n">
        <x:v>0.1008918391735812</x:v>
      </x:c>
      <x:c r="D20" s="31" t="n">
        <x:v>277943</x:v>
      </x:c>
      <x:c r="E20" s="31" t="n">
        <x:v>634177.9807370576</x:v>
      </x:c>
      <x:c r="F20" s="31" t="n">
        <x:v>61.513180463125465</x:v>
      </x:c>
      <x:c r="G20" s="31" t="n">
        <x:v>1.095471777729081</x:v>
      </x:c>
      <x:c r="H20" s="31" t="n">
        <x:v>100</x:v>
      </x:c>
      <x:c r="I20" s="31"/>
      <x:c r="J20" s="31"/>
      <x:c r="K20" s="31" t="n">
        <x:v>35.7120566555239</x:v>
      </x:c>
    </x:row>
    <x:row r="21">
      <x:c r="A21" s="31" t="str">
        <x:v>Arunachal Pradesh</x:v>
      </x:c>
      <x:c r="B21" s="31" t="n">
        <x:v>424716</x:v>
      </x:c>
      <x:c r="C21" s="31" t="n">
        <x:v>0.0948346624080637</x:v>
      </x:c>
      <x:c r="D21" s="31" t="n">
        <x:v>204594</x:v>
      </x:c>
      <x:c r="E21" s="31" t="n">
        <x:v>625309.3785741518</x:v>
      </x:c>
      <x:c r="F21" s="31" t="n">
        <x:v>48.17195490633741</x:v>
      </x:c>
      <x:c r="G21" s="31" t="n">
        <x:v>0.6787122420691702</x:v>
      </x:c>
      <x:c r="H21" s="31" t="n">
        <x:v>96.73441200159589</x:v>
      </x:c>
      <x:c r="I21" s="31"/>
      <x:c r="J21" s="31"/>
      <x:c r="K21" s="31" t="n">
        <x:v>34.29820715790351</x:v>
      </x:c>
    </x:row>
    <x:row r="22">
      <x:c r="A22" s="31" t="str">
        <x:v>Jharkhand</x:v>
      </x:c>
      <x:c r="B22" s="31" t="n">
        <x:v>9026789</x:v>
      </x:c>
      <x:c r="C22" s="31" t="n">
        <x:v>2.0155880339893564</x:v>
      </x:c>
      <x:c r="D22" s="31" t="n">
        <x:v>3978921</x:v>
      </x:c>
      <x:c r="E22" s="31" t="n">
        <x:v>597578.5294555987</x:v>
      </x:c>
      <x:c r="F22" s="31" t="n">
        <x:v>44.07902965273698</x:v>
      </x:c>
      <x:c r="G22" s="31" t="n">
        <x:v>22.123950322324717</x:v>
      </x:c>
      <x:c r="H22" s="31" t="n">
        <x:v>55.89030764166844</x:v>
      </x:c>
      <x:c r="I22" s="31"/>
      <x:c r="J22" s="31"/>
      <x:c r="K22" s="31" t="n">
        <x:v>33.942175384095016</x:v>
      </x:c>
    </x:row>
    <x:row r="23">
      <x:c r="A23" s="31" t="str">
        <x:v>Puducherry</x:v>
      </x:c>
      <x:c r="B23" s="31" t="n">
        <x:v>1553479</x:v>
      </x:c>
      <x:c r="C23" s="31" t="n">
        <x:v>0.3468756922814692</x:v>
      </x:c>
      <x:c r="D23" s="31" t="n">
        <x:v>485077</x:v>
      </x:c>
      <x:c r="E23" s="31" t="n">
        <x:v>618379.2954520623</x:v>
      </x:c>
      <x:c r="F23" s="31" t="n">
        <x:v>31.22520484666996</x:v>
      </x:c>
      <x:c r="G23" s="31" t="n">
        <x:v>2.272380388062964</x:v>
      </x:c>
      <x:c r="H23" s="31" t="n">
        <x:v>86.5272583348796</x:v>
      </x:c>
      <x:c r="I23" s="31"/>
      <x:c r="J23" s="31"/>
      <x:c r="K23" s="31" t="n">
        <x:v>31.761587669448787</x:v>
      </x:c>
    </x:row>
    <x:row r="24">
      <x:c r="A24" s="31" t="str">
        <x:v>Ladakh</x:v>
      </x:c>
      <x:c r="B24" s="31" t="n">
        <x:v>60317</x:v>
      </x:c>
      <x:c r="C24" s="31" t="n">
        <x:v>0.0134681583280761</x:v>
      </x:c>
      <x:c r="D24" s="31" t="n">
        <x:v>50062</x:v>
      </x:c>
      <x:c r="E24" s="31" t="n">
        <x:v>611196.2766169949</x:v>
      </x:c>
      <x:c r="F24" s="31" t="n">
        <x:v>82.99815972279788</x:v>
      </x:c>
      <x:c r="G24" s="31" t="n">
        <x:v>0</x:v>
      </x:c>
      <x:c r="H24" s="31" t="n">
        <x:v>75.9475617066025</x:v>
      </x:c>
      <x:c r="I24" s="31"/>
      <x:c r="J24" s="31"/>
      <x:c r="K24" s="31" t="n">
        <x:v>26.581646597310872</x:v>
      </x:c>
    </x:row>
    <x:row r="25">
      <x:c r="A25" s="31" t="str">
        <x:v>Uttarakhand</x:v>
      </x:c>
      <x:c r="B25" s="31" t="n">
        <x:v>4582563</x:v>
      </x:c>
      <x:c r="C25" s="31" t="n">
        <x:v>1.02323862314743</x:v>
      </x:c>
      <x:c r="D25" s="31" t="n">
        <x:v>2295196</x:v>
      </x:c>
      <x:c r="E25" s="31" t="n">
        <x:v>590814.0725236537</x:v>
      </x:c>
      <x:c r="F25" s="31" t="n">
        <x:v>50.08542162977356</x:v>
      </x:c>
      <x:c r="G25" s="31" t="n">
        <x:v>12.55724253927405</x:v>
      </x:c>
      <x:c r="H25" s="31" t="n">
        <x:v>45.92710082872794</x:v>
      </x:c>
      <x:c r="I25" s="31"/>
      <x:c r="J25" s="31"/>
      <x:c r="K25" s="31" t="n">
        <x:v>24.236692940582916</x:v>
      </x:c>
    </x:row>
    <x:row r="26">
      <x:c r="A26" s="31" t="str">
        <x:v>Assam</x:v>
      </x:c>
      <x:c r="B26" s="31" t="n">
        <x:v>7326176</x:v>
      </x:c>
      <x:c r="C26" s="31" t="n">
        <x:v>1.635858850860478</x:v>
      </x:c>
      <x:c r="D26" s="31" t="n">
        <x:v>2933126</x:v>
      </x:c>
      <x:c r="E26" s="31" t="n">
        <x:v>580678.7768408176</x:v>
      </x:c>
      <x:c r="F26" s="31" t="n">
        <x:v>40.03624810542362</x:v>
      </x:c>
      <x:c r="G26" s="31" t="n">
        <x:v>16.18187832958512</x:v>
      </x:c>
      <x:c r="H26" s="31" t="n">
        <x:v>30.999066248224672</x:v>
      </x:c>
      <x:c r="I26" s="31"/>
      <x:c r="J26" s="31"/>
      <x:c r="K26" s="31" t="n">
        <x:v>21.367894101108966</x:v>
      </x:c>
    </x:row>
    <x:row r="27">
      <x:c r="A27" s="31" t="str">
        <x:v>Nagaland</x:v>
      </x:c>
      <x:c r="B27" s="31" t="n">
        <x:v>508396</x:v>
      </x:c>
      <x:c r="C27" s="31" t="n">
        <x:v>0.1135195354769068</x:v>
      </x:c>
      <x:c r="D27" s="31" t="n">
        <x:v>336513</x:v>
      </x:c>
      <x:c r="E27" s="31" t="n">
        <x:v>596150.3730910842</x:v>
      </x:c>
      <x:c r="F27" s="31" t="n">
        <x:v>66.19111873421507</x:v>
      </x:c>
      <x:c r="G27" s="31" t="n">
        <x:v>1.4282589459740602</x:v>
      </x:c>
      <x:c r="H27" s="31" t="n">
        <x:v>53.78681029309652</x:v>
      </x:c>
      <x:c r="I27" s="31"/>
      <x:c r="J27" s="31"/>
      <x:c r="K27" s="31" t="n">
        <x:v>19.75375191746692</x:v>
      </x:c>
    </x:row>
    <x:row r="28">
      <x:c r="A28" s="31" t="str">
        <x:v>Sikkim</x:v>
      </x:c>
      <x:c r="B28" s="31" t="n">
        <x:v>143985</x:v>
      </x:c>
      <x:c r="C28" s="31" t="n">
        <x:v>0.0321503519218137</x:v>
      </x:c>
      <x:c r="D28" s="31" t="n">
        <x:v>96835</x:v>
      </x:c>
      <x:c r="E28" s="31" t="n">
        <x:v>596748.6859090205</x:v>
      </x:c>
      <x:c r="F28" s="31" t="n">
        <x:v>67.25353335416884</x:v>
      </x:c>
      <x:c r="G28" s="31" t="n">
        <x:v>0.0664395348314939</x:v>
      </x:c>
      <x:c r="H28" s="31" t="n">
        <x:v>54.66805093131855</x:v>
      </x:c>
      <x:c r="I28" s="31"/>
      <x:c r="J28" s="31"/>
      <x:c r="K28" s="31" t="n">
        <x:v>19.17700352360196</x:v>
      </x:c>
    </x:row>
    <x:row r="29">
      <x:c r="A29" s="31" t="str">
        <x:v>Himachal Pradesh</x:v>
      </x:c>
      <x:c r="B29" s="31" t="n">
        <x:v>2646039</x:v>
      </x:c>
      <x:c r="C29" s="31" t="n">
        <x:v>0.5908329690512497</x:v>
      </x:c>
      <x:c r="D29" s="31" t="n">
        <x:v>1571600</x:v>
      </x:c>
      <x:c r="E29" s="31" t="n">
        <x:v>583670.5615296513</x:v>
      </x:c>
      <x:c r="F29" s="31" t="n">
        <x:v>59.39443825279975</x:v>
      </x:c>
      <x:c r="G29" s="31" t="n">
        <x:v>8.445863611608113</x:v>
      </x:c>
      <x:c r="H29" s="31" t="n">
        <x:v>35.40559435454938</x:v>
      </x:c>
      <x:c r="I29" s="31"/>
      <x:c r="J29" s="31"/>
      <x:c r="K29" s="31" t="n">
        <x:v>17.881769371637557</x:v>
      </x:c>
    </x:row>
    <x:row r="30">
      <x:c r="A30" s="31" t="str">
        <x:v>Lakshadweep</x:v>
      </x:c>
      <x:c r="B30" s="31" t="n">
        <x:v>29258</x:v>
      </x:c>
      <x:c r="C30" s="31" t="n">
        <x:v>0.0065330068863314</x:v>
      </x:c>
      <x:c r="D30" s="31" t="n">
        <x:v>13668</x:v>
      </x:c>
      <x:c r="E30" s="31" t="n">
        <x:v>584572.1027216857</x:v>
      </x:c>
      <x:c r="F30" s="31" t="n">
        <x:v>46.71542825893773</x:v>
      </x:c>
      <x:c r="G30" s="31" t="n">
        <x:v>0</x:v>
      </x:c>
      <x:c r="H30" s="31" t="n">
        <x:v>36.73345281192311</x:v>
      </x:c>
      <x:c r="I30" s="31"/>
      <x:c r="J30" s="31"/>
      <x:c r="K30" s="31" t="n">
        <x:v>12.856708484173089</x:v>
      </x:c>
    </x:row>
    <x:row r="31">
      <x:c r="A31" s="31" t="str">
        <x:v>Tripura</x:v>
      </x:c>
      <x:c r="B31" s="31" t="n">
        <x:v>903088</x:v>
      </x:c>
      <x:c r="C31" s="31" t="n">
        <x:v>0.201650151171073</x:v>
      </x:c>
      <x:c r="D31" s="31" t="n">
        <x:v>332192</x:v>
      </x:c>
      <x:c r="E31" s="31" t="n">
        <x:v>582336.4650563529</x:v>
      </x:c>
      <x:c r="F31" s="31" t="n">
        <x:v>36.78401218928831</x:v>
      </x:c>
      <x:c r="G31" s="31" t="n">
        <x:v>1.4037075825800605</x:v>
      </x:c>
      <x:c r="H31" s="31" t="n">
        <x:v>33.44063556988836</x:v>
      </x:c>
      <x:c r="I31" s="31"/>
      <x:c r="J31" s="31"/>
      <x:c r="K31" s="31" t="n">
        <x:v>12.616632378137965</x:v>
      </x:c>
    </x:row>
    <x:row r="32">
      <x:c r="A32" s="31" t="str">
        <x:v>Goa</x:v>
      </x:c>
      <x:c r="B32" s="31" t="n">
        <x:v>1494397</x:v>
      </x:c>
      <x:c r="C32" s="31" t="n">
        <x:v>0.3336832965996648</x:v>
      </x:c>
      <x:c r="D32" s="31" t="n">
        <x:v>935560</x:v>
      </x:c>
      <x:c r="E32" s="31" t="n">
        <x:v>577844.6358330839</x:v>
      </x:c>
      <x:c r="F32" s="31" t="n">
        <x:v>62.60451539985693</x:v>
      </x:c>
      <x:c r="G32" s="31" t="n">
        <x:v>4.831966556963474</x:v>
      </x:c>
      <x:c r="H32" s="31" t="n">
        <x:v>26.82472774904107</x:v>
      </x:c>
      <x:c r="I32" s="31"/>
      <x:c r="J32" s="31"/>
      <x:c r="K32" s="31" t="n">
        <x:v>12.529432974190632</x:v>
      </x:c>
    </x:row>
    <x:row r="33">
      <x:c r="A33" s="31" t="str">
        <x:v>Andaman &amp; Nicobar Island</x:v>
      </x:c>
      <x:c r="B33" s="31" t="n">
        <x:v>190098</x:v>
      </x:c>
      <x:c r="C33" s="31" t="n">
        <x:v>0.0424469048833764</x:v>
      </x:c>
      <x:c r="D33" s="31" t="n">
        <x:v>101690</x:v>
      </x:c>
      <x:c r="E33" s="31" t="n">
        <x:v>579794.9552561707</x:v>
      </x:c>
      <x:c r="F33" s="31" t="n">
        <x:v>53.49346126734632</x:v>
      </x:c>
      <x:c r="G33" s="31" t="n">
        <x:v>0.0940250171915652</x:v>
      </x:c>
      <x:c r="H33" s="31" t="n">
        <x:v>29.697306576728558</x:v>
      </x:c>
      <x:c r="I33" s="31"/>
      <x:c r="J33" s="31"/>
      <x:c r="K33" s="31" t="n">
        <x:v>10.45517356302951</x:v>
      </x:c>
    </x:row>
    <x:row r="34">
      <x:c r="A34" s="31" t="str">
        <x:v>Jammu and Kashmir</x:v>
      </x:c>
      <x:c r="B34" s="31" t="n">
        <x:v>2668489</x:v>
      </x:c>
      <x:c r="C34" s="31" t="n">
        <x:v>0.5958458203944086</x:v>
      </x:c>
      <x:c r="D34" s="31" t="n">
        <x:v>1609323</x:v>
      </x:c>
      <x:c r="E34" s="31" t="n">
        <x:v>561926.967115986</x:v>
      </x:c>
      <x:c r="F34" s="31" t="n">
        <x:v>60.30839924766413</x:v>
      </x:c>
      <x:c r="G34" s="31" t="n">
        <x:v>8.660200820891113</x:v>
      </x:c>
      <x:c r="H34" s="31" t="n">
        <x:v>3.379974237583557</x:v>
      </x:c>
      <x:c r="I34" s="31"/>
      <x:c r="J34" s="31"/>
      <x:c r="K34" s="31" t="n">
        <x:v>6.812121516733468</x:v>
      </x:c>
    </x:row>
    <x:row r="35">
      <x:c r="A35" s="31" t="str">
        <x:v>Manipur</x:v>
      </x:c>
      <x:c r="B35" s="31" t="n">
        <x:v>659715</x:v>
      </x:c>
      <x:c r="C35" s="31" t="n">
        <x:v>0.1473074932673499</x:v>
      </x:c>
      <x:c r="D35" s="31" t="n">
        <x:v>414638</x:v>
      </x:c>
      <x:c r="E35" s="31" t="n">
        <x:v>570302.6121580752</x:v>
      </x:c>
      <x:c r="F35" s="31" t="n">
        <x:v>62.85107963287177</x:v>
      </x:c>
      <x:c r="G35" s="31" t="n">
        <x:v>1.8721550962069264</x:v>
      </x:c>
      <x:c r="H35" s="31" t="n">
        <x:v>15.716261479214474</x:v>
      </x:c>
      <x:c r="I35" s="31"/>
      <x:c r="J35" s="31"/>
      <x:c r="K35" s="31" t="n">
        <x:v>6.717592330259567</x:v>
      </x:c>
    </x:row>
    <x:row r="36">
      <x:c r="A36" s="31" t="str">
        <x:v>Meghalaya</x:v>
      </x:c>
      <x:c r="B36" s="31" t="n">
        <x:v>659441</x:v>
      </x:c>
      <x:c r="C36" s="31" t="n">
        <x:v>0.1472463119191082</x:v>
      </x:c>
      <x:c r="D36" s="31" t="n">
        <x:v>365087</x:v>
      </x:c>
      <x:c r="E36" s="31" t="n">
        <x:v>552747.7176672957</x:v>
      </x:c>
      <x:c r="F36" s="31" t="n">
        <x:v>55.363102991776366</x:v>
      </x:c>
      <x:c r="G36" s="31" t="n">
        <x:v>1.5906127200125102</x:v>
      </x:c>
      <x:c r="H36" s="31" t="n">
        <x:v>0</x:v>
      </x:c>
      <x:c r="I36" s="31"/>
      <x:c r="J36" s="31"/>
      <x:c r="K36" s="31" t="n">
        <x:v>1.0338982680081317</x:v>
      </x:c>
    </x:row>
    <x:row r="37">
      <x:c r="A37" s="31" t="str">
        <x:v>Mizoram</x:v>
      </x:c>
      <x:c r="B37" s="31" t="n">
        <x:v>449447</x:v>
      </x:c>
      <x:c r="C37" s="31" t="n">
        <x:v>0.1003568373108548</x:v>
      </x:c>
      <x:c r="D37" s="31" t="n">
        <x:v>259579</x:v>
      </x:c>
      <x:c r="E37" s="31" t="n">
        <x:v>550768.2516690487</x:v>
      </x:c>
      <x:c r="F37" s="31" t="n">
        <x:v>57.75519694201986</x:v>
      </x:c>
      <x:c r="G37" s="31" t="n">
        <x:v>0.9911299037722636</x:v>
      </x:c>
      <x:c r="H37" s="31" t="n">
        <x:v>0</x:v>
      </x:c>
      <x:c r="I37" s="31"/>
      <x:c r="J37" s="31"/>
      <x:c r="K37" s="31" t="n">
        <x:v>0.6442344374519714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brand</x:v>
      </x:c>
      <x:c r="B1" s="30" t="str">
        <x:v>younger_age_band</x:v>
      </x:c>
      <x:c r="C1" s="30" t="str">
        <x:v>older_age_band</x:v>
      </x:c>
      <x:c r="D1" s="30" t="str">
        <x:v>younger_n</x:v>
      </x:c>
      <x:c r="E1" s="30" t="str">
        <x:v>older_n</x:v>
      </x:c>
      <x:c r="F1" s="30" t="str">
        <x:v>younger_median</x:v>
      </x:c>
      <x:c r="G1" s="30" t="str">
        <x:v>older_median</x:v>
      </x:c>
      <x:c r="H1" s="30" t="str">
        <x:v>Observed Price Retention Proxy</x:v>
      </x:c>
    </x:row>
    <x:row r="2">
      <x:c r="A2" s="31" t="str">
        <x:v>Audi</x:v>
      </x:c>
      <x:c r="B2" s="31" t="str">
        <x:v>6-8 years</x:v>
      </x:c>
      <x:c r="C2" s="31" t="str">
        <x:v>9-12 years</x:v>
      </x:c>
      <x:c r="D2" s="31" t="n">
        <x:v>85</x:v>
      </x:c>
      <x:c r="E2" s="31" t="n">
        <x:v>64</x:v>
      </x:c>
      <x:c r="F2" s="31" t="n">
        <x:v>1725000</x:v>
      </x:c>
      <x:c r="G2" s="31" t="n">
        <x:v>1297000</x:v>
      </x:c>
      <x:c r="H2" s="31" t="n">
        <x:v>0.7518840579710145</x:v>
      </x:c>
    </x:row>
    <x:row r="3">
      <x:c r="A3" s="31" t="str">
        <x:v>BMW</x:v>
      </x:c>
      <x:c r="B3" s="31" t="str">
        <x:v>3-5 years</x:v>
      </x:c>
      <x:c r="C3" s="31" t="str">
        <x:v>6-8 years</x:v>
      </x:c>
      <x:c r="D3" s="31" t="n">
        <x:v>142</x:v>
      </x:c>
      <x:c r="E3" s="31" t="n">
        <x:v>133</x:v>
      </x:c>
      <x:c r="F3" s="31" t="n">
        <x:v>3300000</x:v>
      </x:c>
      <x:c r="G3" s="31" t="n">
        <x:v>2025000</x:v>
      </x:c>
      <x:c r="H3" s="31" t="n">
        <x:v>0.6136363636363636</x:v>
      </x:c>
    </x:row>
    <x:row r="4">
      <x:c r="A4" s="31" t="str">
        <x:v>BMW</x:v>
      </x:c>
      <x:c r="B4" s="31" t="str">
        <x:v>6-8 years</x:v>
      </x:c>
      <x:c r="C4" s="31" t="str">
        <x:v>9-12 years</x:v>
      </x:c>
      <x:c r="D4" s="31" t="n">
        <x:v>133</x:v>
      </x:c>
      <x:c r="E4" s="31" t="n">
        <x:v>112</x:v>
      </x:c>
      <x:c r="F4" s="31" t="n">
        <x:v>2025000</x:v>
      </x:c>
      <x:c r="G4" s="31" t="n">
        <x:v>1150000</x:v>
      </x:c>
      <x:c r="H4" s="31" t="n">
        <x:v>0.5679012345679012</x:v>
      </x:c>
    </x:row>
    <x:row r="5">
      <x:c r="A5" s="31" t="str">
        <x:v>Ford</x:v>
      </x:c>
      <x:c r="B5" s="31" t="str">
        <x:v>0-2 years</x:v>
      </x:c>
      <x:c r="C5" s="31" t="str">
        <x:v>3-5 years</x:v>
      </x:c>
      <x:c r="D5" s="31" t="n">
        <x:v>63</x:v>
      </x:c>
      <x:c r="E5" s="31" t="n">
        <x:v>298</x:v>
      </x:c>
      <x:c r="F5" s="31" t="n">
        <x:v>925000</x:v>
      </x:c>
      <x:c r="G5" s="31" t="n">
        <x:v>690000</x:v>
      </x:c>
      <x:c r="H5" s="31" t="n">
        <x:v>0.745945945945946</x:v>
      </x:c>
    </x:row>
    <x:row r="6">
      <x:c r="A6" s="31" t="str">
        <x:v>Ford</x:v>
      </x:c>
      <x:c r="B6" s="31" t="str">
        <x:v>3-5 years</x:v>
      </x:c>
      <x:c r="C6" s="31" t="str">
        <x:v>6-8 years</x:v>
      </x:c>
      <x:c r="D6" s="31" t="n">
        <x:v>298</x:v>
      </x:c>
      <x:c r="E6" s="31" t="n">
        <x:v>268</x:v>
      </x:c>
      <x:c r="F6" s="31" t="n">
        <x:v>690000</x:v>
      </x:c>
      <x:c r="G6" s="31" t="n">
        <x:v>496500</x:v>
      </x:c>
      <x:c r="H6" s="31" t="n">
        <x:v>0.7195652173913043</x:v>
      </x:c>
    </x:row>
    <x:row r="7">
      <x:c r="A7" s="31" t="str">
        <x:v>Ford</x:v>
      </x:c>
      <x:c r="B7" s="31" t="str">
        <x:v>6-8 years</x:v>
      </x:c>
      <x:c r="C7" s="31" t="str">
        <x:v>9-12 years</x:v>
      </x:c>
      <x:c r="D7" s="31" t="n">
        <x:v>268</x:v>
      </x:c>
      <x:c r="E7" s="31" t="n">
        <x:v>145</x:v>
      </x:c>
      <x:c r="F7" s="31" t="n">
        <x:v>496500</x:v>
      </x:c>
      <x:c r="G7" s="31" t="n">
        <x:v>240000</x:v>
      </x:c>
      <x:c r="H7" s="31" t="n">
        <x:v>0.4833836858006042</x:v>
      </x:c>
    </x:row>
    <x:row r="8">
      <x:c r="A8" s="31" t="str">
        <x:v>Honda</x:v>
      </x:c>
      <x:c r="B8" s="31" t="str">
        <x:v>0-2 years</x:v>
      </x:c>
      <x:c r="C8" s="31" t="str">
        <x:v>3-5 years</x:v>
      </x:c>
      <x:c r="D8" s="31" t="n">
        <x:v>119</x:v>
      </x:c>
      <x:c r="E8" s="31" t="n">
        <x:v>586</x:v>
      </x:c>
      <x:c r="F8" s="31" t="n">
        <x:v>840000</x:v>
      </x:c>
      <x:c r="G8" s="31" t="n">
        <x:v>727500</x:v>
      </x:c>
      <x:c r="H8" s="31" t="n">
        <x:v>0.8660714285714286</x:v>
      </x:c>
    </x:row>
    <x:row r="9">
      <x:c r="A9" s="31" t="str">
        <x:v>Honda</x:v>
      </x:c>
      <x:c r="B9" s="31" t="str">
        <x:v>3-5 years</x:v>
      </x:c>
      <x:c r="C9" s="31" t="str">
        <x:v>6-8 years</x:v>
      </x:c>
      <x:c r="D9" s="31" t="n">
        <x:v>586</x:v>
      </x:c>
      <x:c r="E9" s="31" t="n">
        <x:v>485</x:v>
      </x:c>
      <x:c r="F9" s="31" t="n">
        <x:v>727500</x:v>
      </x:c>
      <x:c r="G9" s="31" t="n">
        <x:v>525000</x:v>
      </x:c>
      <x:c r="H9" s="31" t="n">
        <x:v>0.7216494845360825</x:v>
      </x:c>
    </x:row>
    <x:row r="10">
      <x:c r="A10" s="31" t="str">
        <x:v>Honda</x:v>
      </x:c>
      <x:c r="B10" s="31" t="str">
        <x:v>6-8 years</x:v>
      </x:c>
      <x:c r="C10" s="31" t="str">
        <x:v>9-12 years</x:v>
      </x:c>
      <x:c r="D10" s="31" t="n">
        <x:v>485</x:v>
      </x:c>
      <x:c r="E10" s="31" t="n">
        <x:v>195</x:v>
      </x:c>
      <x:c r="F10" s="31" t="n">
        <x:v>525000</x:v>
      </x:c>
      <x:c r="G10" s="31" t="n">
        <x:v>345000</x:v>
      </x:c>
      <x:c r="H10" s="31" t="n">
        <x:v>0.6571428571428571</x:v>
      </x:c>
    </x:row>
    <x:row r="11">
      <x:c r="A11" s="31" t="str">
        <x:v>Honda</x:v>
      </x:c>
      <x:c r="B11" s="31" t="str">
        <x:v>9-12 years</x:v>
      </x:c>
      <x:c r="C11" s="31" t="str">
        <x:v>13+ years</x:v>
      </x:c>
      <x:c r="D11" s="31" t="n">
        <x:v>195</x:v>
      </x:c>
      <x:c r="E11" s="31" t="n">
        <x:v>91</x:v>
      </x:c>
      <x:c r="F11" s="31" t="n">
        <x:v>345000</x:v>
      </x:c>
      <x:c r="G11" s="31" t="n">
        <x:v>225000</x:v>
      </x:c>
      <x:c r="H11" s="31" t="n">
        <x:v>0.6521739130434783</x:v>
      </x:c>
    </x:row>
    <x:row r="12">
      <x:c r="A12" s="31" t="str">
        <x:v>Hyundai</x:v>
      </x:c>
      <x:c r="B12" s="31" t="str">
        <x:v>0-2 years</x:v>
      </x:c>
      <x:c r="C12" s="31" t="str">
        <x:v>3-5 years</x:v>
      </x:c>
      <x:c r="D12" s="31" t="n">
        <x:v>278</x:v>
      </x:c>
      <x:c r="E12" s="31" t="n">
        <x:v>1137</x:v>
      </x:c>
      <x:c r="F12" s="31" t="n">
        <x:v>773500</x:v>
      </x:c>
      <x:c r="G12" s="31" t="n">
        <x:v>655000</x:v>
      </x:c>
      <x:c r="H12" s="31" t="n">
        <x:v>0.8468002585649644</x:v>
      </x:c>
    </x:row>
    <x:row r="13">
      <x:c r="A13" s="31" t="str">
        <x:v>Hyundai</x:v>
      </x:c>
      <x:c r="B13" s="31" t="str">
        <x:v>3-5 years</x:v>
      </x:c>
      <x:c r="C13" s="31" t="str">
        <x:v>6-8 years</x:v>
      </x:c>
      <x:c r="D13" s="31" t="n">
        <x:v>1137</x:v>
      </x:c>
      <x:c r="E13" s="31" t="n">
        <x:v>870</x:v>
      </x:c>
      <x:c r="F13" s="31" t="n">
        <x:v>655000</x:v>
      </x:c>
      <x:c r="G13" s="31" t="n">
        <x:v>475000</x:v>
      </x:c>
      <x:c r="H13" s="31" t="n">
        <x:v>0.7251908396946565</x:v>
      </x:c>
    </x:row>
    <x:row r="14">
      <x:c r="A14" s="31" t="str">
        <x:v>Hyundai</x:v>
      </x:c>
      <x:c r="B14" s="31" t="str">
        <x:v>6-8 years</x:v>
      </x:c>
      <x:c r="C14" s="31" t="str">
        <x:v>9-12 years</x:v>
      </x:c>
      <x:c r="D14" s="31" t="n">
        <x:v>870</x:v>
      </x:c>
      <x:c r="E14" s="31" t="n">
        <x:v>591</x:v>
      </x:c>
      <x:c r="F14" s="31" t="n">
        <x:v>475000</x:v>
      </x:c>
      <x:c r="G14" s="31" t="n">
        <x:v>295000</x:v>
      </x:c>
      <x:c r="H14" s="31" t="n">
        <x:v>0.6210526315789474</x:v>
      </x:c>
    </x:row>
    <x:row r="15">
      <x:c r="A15" s="31" t="str">
        <x:v>Hyundai</x:v>
      </x:c>
      <x:c r="B15" s="31" t="str">
        <x:v>9-12 years</x:v>
      </x:c>
      <x:c r="C15" s="31" t="str">
        <x:v>13+ years</x:v>
      </x:c>
      <x:c r="D15" s="31" t="n">
        <x:v>591</x:v>
      </x:c>
      <x:c r="E15" s="31" t="n">
        <x:v>76</x:v>
      </x:c>
      <x:c r="F15" s="31" t="n">
        <x:v>295000</x:v>
      </x:c>
      <x:c r="G15" s="31" t="n">
        <x:v>157500</x:v>
      </x:c>
      <x:c r="H15" s="31" t="n">
        <x:v>0.5338983050847458</x:v>
      </x:c>
    </x:row>
    <x:row r="16">
      <x:c r="A16" s="31" t="str">
        <x:v>Mahindra</x:v>
      </x:c>
      <x:c r="B16" s="31" t="str">
        <x:v>0-2 years</x:v>
      </x:c>
      <x:c r="C16" s="31" t="str">
        <x:v>3-5 years</x:v>
      </x:c>
      <x:c r="D16" s="31" t="n">
        <x:v>94</x:v>
      </x:c>
      <x:c r="E16" s="31" t="n">
        <x:v>385</x:v>
      </x:c>
      <x:c r="F16" s="31" t="n">
        <x:v>994500</x:v>
      </x:c>
      <x:c r="G16" s="31" t="n">
        <x:v>900000</x:v>
      </x:c>
      <x:c r="H16" s="31" t="n">
        <x:v>0.9049773755656108</x:v>
      </x:c>
    </x:row>
    <x:row r="17">
      <x:c r="A17" s="31" t="str">
        <x:v>Mahindra</x:v>
      </x:c>
      <x:c r="B17" s="31" t="str">
        <x:v>3-5 years</x:v>
      </x:c>
      <x:c r="C17" s="31" t="str">
        <x:v>6-8 years</x:v>
      </x:c>
      <x:c r="D17" s="31" t="n">
        <x:v>385</x:v>
      </x:c>
      <x:c r="E17" s="31" t="n">
        <x:v>333</x:v>
      </x:c>
      <x:c r="F17" s="31" t="n">
        <x:v>900000</x:v>
      </x:c>
      <x:c r="G17" s="31" t="n">
        <x:v>700000</x:v>
      </x:c>
      <x:c r="H17" s="31" t="n">
        <x:v>0.7777777777777778</x:v>
      </x:c>
    </x:row>
    <x:row r="18">
      <x:c r="A18" s="31" t="str">
        <x:v>Mahindra</x:v>
      </x:c>
      <x:c r="B18" s="31" t="str">
        <x:v>6-8 years</x:v>
      </x:c>
      <x:c r="C18" s="31" t="str">
        <x:v>9-12 years</x:v>
      </x:c>
      <x:c r="D18" s="31" t="n">
        <x:v>333</x:v>
      </x:c>
      <x:c r="E18" s="31" t="n">
        <x:v>149</x:v>
      </x:c>
      <x:c r="F18" s="31" t="n">
        <x:v>700000</x:v>
      </x:c>
      <x:c r="G18" s="31" t="n">
        <x:v>475000</x:v>
      </x:c>
      <x:c r="H18" s="31" t="n">
        <x:v>0.6785714285714286</x:v>
      </x:c>
    </x:row>
    <x:row r="19">
      <x:c r="A19" s="31" t="str">
        <x:v>Maruti</x:v>
      </x:c>
      <x:c r="B19" s="31" t="str">
        <x:v>0-2 years</x:v>
      </x:c>
      <x:c r="C19" s="31" t="str">
        <x:v>3-5 years</x:v>
      </x:c>
      <x:c r="D19" s="31" t="n">
        <x:v>424</x:v>
      </x:c>
      <x:c r="E19" s="31" t="n">
        <x:v>2213</x:v>
      </x:c>
      <x:c r="F19" s="31" t="n">
        <x:v>640000</x:v>
      </x:c>
      <x:c r="G19" s="31" t="n">
        <x:v>600000</x:v>
      </x:c>
      <x:c r="H19" s="31" t="n">
        <x:v>0.9375</x:v>
      </x:c>
    </x:row>
    <x:row r="20">
      <x:c r="A20" s="31" t="str">
        <x:v>Maruti</x:v>
      </x:c>
      <x:c r="B20" s="31" t="str">
        <x:v>3-5 years</x:v>
      </x:c>
      <x:c r="C20" s="31" t="str">
        <x:v>6-8 years</x:v>
      </x:c>
      <x:c r="D20" s="31" t="n">
        <x:v>2213</x:v>
      </x:c>
      <x:c r="E20" s="31" t="n">
        <x:v>1359</x:v>
      </x:c>
      <x:c r="F20" s="31" t="n">
        <x:v>600000</x:v>
      </x:c>
      <x:c r="G20" s="31" t="n">
        <x:v>425000</x:v>
      </x:c>
      <x:c r="H20" s="31" t="n">
        <x:v>0.7083333333333334</x:v>
      </x:c>
    </x:row>
    <x:row r="21">
      <x:c r="A21" s="31" t="str">
        <x:v>Maruti</x:v>
      </x:c>
      <x:c r="B21" s="31" t="str">
        <x:v>6-8 years</x:v>
      </x:c>
      <x:c r="C21" s="31" t="str">
        <x:v>9-12 years</x:v>
      </x:c>
      <x:c r="D21" s="31" t="n">
        <x:v>1359</x:v>
      </x:c>
      <x:c r="E21" s="31" t="n">
        <x:v>705</x:v>
      </x:c>
      <x:c r="F21" s="31" t="n">
        <x:v>425000</x:v>
      </x:c>
      <x:c r="G21" s="31" t="n">
        <x:v>251000</x:v>
      </x:c>
      <x:c r="H21" s="31" t="n">
        <x:v>0.5905882352941176</x:v>
      </x:c>
    </x:row>
    <x:row r="22">
      <x:c r="A22" s="31" t="str">
        <x:v>Maruti</x:v>
      </x:c>
      <x:c r="B22" s="31" t="str">
        <x:v>9-12 years</x:v>
      </x:c>
      <x:c r="C22" s="31" t="str">
        <x:v>13+ years</x:v>
      </x:c>
      <x:c r="D22" s="31" t="n">
        <x:v>705</x:v>
      </x:c>
      <x:c r="E22" s="31" t="n">
        <x:v>232</x:v>
      </x:c>
      <x:c r="F22" s="31" t="n">
        <x:v>251000</x:v>
      </x:c>
      <x:c r="G22" s="31" t="n">
        <x:v>125000</x:v>
      </x:c>
      <x:c r="H22" s="31" t="n">
        <x:v>0.49800796812749</x:v>
      </x:c>
    </x:row>
    <x:row r="23">
      <x:c r="A23" s="31" t="str">
        <x:v>Mercedes-Benz</x:v>
      </x:c>
      <x:c r="B23" s="31" t="str">
        <x:v>3-5 years</x:v>
      </x:c>
      <x:c r="C23" s="31" t="str">
        <x:v>6-8 years</x:v>
      </x:c>
      <x:c r="D23" s="31" t="n">
        <x:v>81</x:v>
      </x:c>
      <x:c r="E23" s="31" t="n">
        <x:v>109</x:v>
      </x:c>
      <x:c r="F23" s="31" t="n">
        <x:v>3975000</x:v>
      </x:c>
      <x:c r="G23" s="31" t="n">
        <x:v>2050000</x:v>
      </x:c>
      <x:c r="H23" s="31" t="n">
        <x:v>0.5157232704402516</x:v>
      </x:c>
    </x:row>
    <x:row r="24">
      <x:c r="A24" s="31" t="str">
        <x:v>Mercedes-Benz</x:v>
      </x:c>
      <x:c r="B24" s="31" t="str">
        <x:v>6-8 years</x:v>
      </x:c>
      <x:c r="C24" s="31" t="str">
        <x:v>9-12 years</x:v>
      </x:c>
      <x:c r="D24" s="31" t="n">
        <x:v>109</x:v>
      </x:c>
      <x:c r="E24" s="31" t="n">
        <x:v>115</x:v>
      </x:c>
      <x:c r="F24" s="31" t="n">
        <x:v>2050000</x:v>
      </x:c>
      <x:c r="G24" s="31" t="n">
        <x:v>1155000</x:v>
      </x:c>
      <x:c r="H24" s="31" t="n">
        <x:v>0.5634146341463414</x:v>
      </x:c>
    </x:row>
    <x:row r="25">
      <x:c r="A25" s="31" t="str">
        <x:v>Renault</x:v>
      </x:c>
      <x:c r="B25" s="31" t="str">
        <x:v>0-2 years</x:v>
      </x:c>
      <x:c r="C25" s="31" t="str">
        <x:v>3-5 years</x:v>
      </x:c>
      <x:c r="D25" s="31" t="n">
        <x:v>63</x:v>
      </x:c>
      <x:c r="E25" s="31" t="n">
        <x:v>298</x:v>
      </x:c>
      <x:c r="F25" s="31" t="n">
        <x:v>429000</x:v>
      </x:c>
      <x:c r="G25" s="31" t="n">
        <x:v>350000</x:v>
      </x:c>
      <x:c r="H25" s="31" t="n">
        <x:v>0.8158508158508159</x:v>
      </x:c>
    </x:row>
    <x:row r="26">
      <x:c r="A26" s="31" t="str">
        <x:v>Renault</x:v>
      </x:c>
      <x:c r="B26" s="31" t="str">
        <x:v>3-5 years</x:v>
      </x:c>
      <x:c r="C26" s="31" t="str">
        <x:v>6-8 years</x:v>
      </x:c>
      <x:c r="D26" s="31" t="n">
        <x:v>298</x:v>
      </x:c>
      <x:c r="E26" s="31" t="n">
        <x:v>154</x:v>
      </x:c>
      <x:c r="F26" s="31" t="n">
        <x:v>350000</x:v>
      </x:c>
      <x:c r="G26" s="31" t="n">
        <x:v>475000</x:v>
      </x:c>
      <x:c r="H26" s="31" t="n">
        <x:v>1.3571428571428572</x:v>
      </x:c>
    </x:row>
    <x:row r="27">
      <x:c r="A27" s="31" t="str">
        <x:v>Skoda</x:v>
      </x:c>
      <x:c r="B27" s="31" t="str">
        <x:v>3-5 years</x:v>
      </x:c>
      <x:c r="C27" s="31" t="str">
        <x:v>6-8 years</x:v>
      </x:c>
      <x:c r="D27" s="31" t="n">
        <x:v>100</x:v>
      </x:c>
      <x:c r="E27" s="31" t="n">
        <x:v>145</x:v>
      </x:c>
      <x:c r="F27" s="31" t="n">
        <x:v>950000</x:v>
      </x:c>
      <x:c r="G27" s="31" t="n">
        <x:v>535000</x:v>
      </x:c>
      <x:c r="H27" s="31" t="n">
        <x:v>0.5631578947368421</x:v>
      </x:c>
    </x:row>
    <x:row r="28">
      <x:c r="A28" s="31" t="str">
        <x:v>Skoda</x:v>
      </x:c>
      <x:c r="B28" s="31" t="str">
        <x:v>6-8 years</x:v>
      </x:c>
      <x:c r="C28" s="31" t="str">
        <x:v>9-12 years</x:v>
      </x:c>
      <x:c r="D28" s="31" t="n">
        <x:v>145</x:v>
      </x:c>
      <x:c r="E28" s="31" t="n">
        <x:v>77</x:v>
      </x:c>
      <x:c r="F28" s="31" t="n">
        <x:v>535000</x:v>
      </x:c>
      <x:c r="G28" s="31" t="n">
        <x:v>440000</x:v>
      </x:c>
      <x:c r="H28" s="31" t="n">
        <x:v>0.822429906542056</x:v>
      </x:c>
    </x:row>
    <x:row r="29">
      <x:c r="A29" s="31" t="str">
        <x:v>Tata</x:v>
      </x:c>
      <x:c r="B29" s="31" t="str">
        <x:v>0-2 years</x:v>
      </x:c>
      <x:c r="C29" s="31" t="str">
        <x:v>3-5 years</x:v>
      </x:c>
      <x:c r="D29" s="31" t="n">
        <x:v>86</x:v>
      </x:c>
      <x:c r="E29" s="31" t="n">
        <x:v>258</x:v>
      </x:c>
      <x:c r="F29" s="31" t="n">
        <x:v>707500</x:v>
      </x:c>
      <x:c r="G29" s="31" t="n">
        <x:v>572500</x:v>
      </x:c>
      <x:c r="H29" s="31" t="n">
        <x:v>0.8091872791519434</x:v>
      </x:c>
    </x:row>
    <x:row r="30">
      <x:c r="A30" s="31" t="str">
        <x:v>Toyota</x:v>
      </x:c>
      <x:c r="B30" s="31" t="str">
        <x:v>0-2 years</x:v>
      </x:c>
      <x:c r="C30" s="31" t="str">
        <x:v>3-5 years</x:v>
      </x:c>
      <x:c r="D30" s="31" t="n">
        <x:v>55</x:v>
      </x:c>
      <x:c r="E30" s="31" t="n">
        <x:v>292</x:v>
      </x:c>
      <x:c r="F30" s="31" t="n">
        <x:v>1900000</x:v>
      </x:c>
      <x:c r="G30" s="31" t="n">
        <x:v>1750000</x:v>
      </x:c>
      <x:c r="H30" s="31" t="n">
        <x:v>0.9210526315789472</x:v>
      </x:c>
    </x:row>
    <x:row r="31">
      <x:c r="A31" s="31" t="str">
        <x:v>Toyota</x:v>
      </x:c>
      <x:c r="B31" s="31" t="str">
        <x:v>3-5 years</x:v>
      </x:c>
      <x:c r="C31" s="31" t="str">
        <x:v>6-8 years</x:v>
      </x:c>
      <x:c r="D31" s="31" t="n">
        <x:v>292</x:v>
      </x:c>
      <x:c r="E31" s="31" t="n">
        <x:v>224</x:v>
      </x:c>
      <x:c r="F31" s="31" t="n">
        <x:v>1750000</x:v>
      </x:c>
      <x:c r="G31" s="31" t="n">
        <x:v>1092500</x:v>
      </x:c>
      <x:c r="H31" s="31" t="n">
        <x:v>0.6242857142857143</x:v>
      </x:c>
    </x:row>
    <x:row r="32">
      <x:c r="A32" s="31" t="str">
        <x:v>Toyota</x:v>
      </x:c>
      <x:c r="B32" s="31" t="str">
        <x:v>6-8 years</x:v>
      </x:c>
      <x:c r="C32" s="31" t="str">
        <x:v>9-12 years</x:v>
      </x:c>
      <x:c r="D32" s="31" t="n">
        <x:v>224</x:v>
      </x:c>
      <x:c r="E32" s="31" t="n">
        <x:v>184</x:v>
      </x:c>
      <x:c r="F32" s="31" t="n">
        <x:v>1092500</x:v>
      </x:c>
      <x:c r="G32" s="31" t="n">
        <x:v>762500</x:v>
      </x:c>
      <x:c r="H32" s="31" t="n">
        <x:v>0.6979405034324943</x:v>
      </x:c>
    </x:row>
    <x:row r="33">
      <x:c r="A33" s="31" t="str">
        <x:v>Volkswagen</x:v>
      </x:c>
      <x:c r="B33" s="31" t="str">
        <x:v>3-5 years</x:v>
      </x:c>
      <x:c r="C33" s="31" t="str">
        <x:v>6-8 years</x:v>
      </x:c>
      <x:c r="D33" s="31" t="n">
        <x:v>152</x:v>
      </x:c>
      <x:c r="E33" s="31" t="n">
        <x:v>303</x:v>
      </x:c>
      <x:c r="F33" s="31" t="n">
        <x:v>675000</x:v>
      </x:c>
      <x:c r="G33" s="31" t="n">
        <x:v>485000</x:v>
      </x:c>
      <x:c r="H33" s="31" t="n">
        <x:v>0.7185185185185186</x:v>
      </x:c>
    </x:row>
    <x:row r="34">
      <x:c r="A34" s="31" t="str">
        <x:v>Volkswagen</x:v>
      </x:c>
      <x:c r="B34" s="31" t="str">
        <x:v>6-8 years</x:v>
      </x:c>
      <x:c r="C34" s="31" t="str">
        <x:v>9-12 years</x:v>
      </x:c>
      <x:c r="D34" s="31" t="n">
        <x:v>303</x:v>
      </x:c>
      <x:c r="E34" s="31" t="n">
        <x:v>135</x:v>
      </x:c>
      <x:c r="F34" s="31" t="n">
        <x:v>485000</x:v>
      </x:c>
      <x:c r="G34" s="31" t="n">
        <x:v>320000</x:v>
      </x:c>
      <x:c r="H34" s="31" t="n">
        <x:v>0.6597938144329897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0" t="str">
        <x:v>model</x:v>
      </x:c>
      <x:c r="B1" s="30" t="str">
        <x:v>baseline_mae</x:v>
      </x:c>
      <x:c r="C1" s="30" t="str">
        <x:v>baseline_rmse</x:v>
      </x:c>
      <x:c r="D1" s="30" t="str">
        <x:v>baseline_r2</x:v>
      </x:c>
      <x:c r="E1" s="30" t="str">
        <x:v>mae</x:v>
      </x:c>
      <x:c r="F1" s="30" t="str">
        <x:v>rmse</x:v>
      </x:c>
      <x:c r="G1" s="30" t="str">
        <x:v>r2</x:v>
      </x:c>
      <x:c r="H1" s="30" t="str">
        <x:v>mae_improvement_pct</x:v>
      </x:c>
      <x:c r="I1" s="30" t="str">
        <x:v>rmse_improvement_pct</x:v>
      </x:c>
    </x:row>
    <x:row r="2">
      <x:c r="A2" s="31" t="str">
        <x:v>Linear Regression</x:v>
      </x:c>
      <x:c r="B2" s="31" t="n">
        <x:v>402944.8792238796</x:v>
      </x:c>
      <x:c r="C2" s="31" t="n">
        <x:v>911971.5575214208</x:v>
      </x:c>
      <x:c r="D2" s="31" t="n">
        <x:v>-0.0812967625848316</x:v>
      </x:c>
      <x:c r="E2" s="31" t="n">
        <x:v>588848.1557520683</x:v>
      </x:c>
      <x:c r="F2" s="31" t="n">
        <x:v>915104.9658862058</x:v>
      </x:c>
      <x:c r="G2" s="31" t="n">
        <x:v>-0.4691278530280914</x:v>
      </x:c>
      <x:c r="H2" s="31" t="n">
        <x:v>-46.13615561668404</x:v>
      </x:c>
      <x:c r="I2" s="31" t="n">
        <x:v>-0.3435861939928214</x:v>
      </x:c>
    </x:row>
    <x:row r="3">
      <x:c r="A3" s="31" t="str">
        <x:v>Gradient Boosting</x:v>
      </x:c>
      <x:c r="B3" s="31" t="n">
        <x:v>402944.8792238796</x:v>
      </x:c>
      <x:c r="C3" s="31" t="n">
        <x:v>911971.5575214208</x:v>
      </x:c>
      <x:c r="D3" s="31" t="n">
        <x:v>-0.0812967625848316</x:v>
      </x:c>
      <x:c r="E3" s="31" t="n">
        <x:v>153184.79963645674</x:v>
      </x:c>
      <x:c r="F3" s="31" t="n">
        <x:v>422356.5256077132</x:v>
      </x:c>
      <x:c r="G3" s="31" t="n">
        <x:v>0.7723170634362657</x:v>
      </x:c>
      <x:c r="H3" s="31" t="n">
        <x:v>61.98368374068704</x:v>
      </x:c>
      <x:c r="I3" s="31" t="n">
        <x:v>53.68753311171192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0" t="str">
        <x:v>model</x:v>
      </x:c>
      <x:c r="B1" s="30" t="str">
        <x:v>baseline_mae</x:v>
      </x:c>
      <x:c r="C1" s="30" t="str">
        <x:v>baseline_rmse</x:v>
      </x:c>
      <x:c r="D1" s="30" t="str">
        <x:v>baseline_r2</x:v>
      </x:c>
      <x:c r="E1" s="30" t="str">
        <x:v>mae</x:v>
      </x:c>
      <x:c r="F1" s="30" t="str">
        <x:v>rmse</x:v>
      </x:c>
      <x:c r="G1" s="30" t="str">
        <x:v>r2</x:v>
      </x:c>
      <x:c r="H1" s="30" t="str">
        <x:v>mae_improvement_pct</x:v>
      </x:c>
      <x:c r="I1" s="30" t="str">
        <x:v>rmse_improvement_pct</x:v>
      </x:c>
    </x:row>
    <x:row r="2">
      <x:c r="A2" s="31" t="str">
        <x:v>Linear Regression</x:v>
      </x:c>
      <x:c r="B2" s="31" t="n">
        <x:v>402944.8792238796</x:v>
      </x:c>
      <x:c r="C2" s="31" t="n">
        <x:v>911971.5575214208</x:v>
      </x:c>
      <x:c r="D2" s="31" t="n">
        <x:v>-0.0812967625848316</x:v>
      </x:c>
      <x:c r="E2" s="31" t="n">
        <x:v>251149.26313267188</x:v>
      </x:c>
      <x:c r="F2" s="31" t="n">
        <x:v>514541.7860235763</x:v>
      </x:c>
      <x:c r="G2" s="31" t="n">
        <x:v>0.6484773012296056</x:v>
      </x:c>
      <x:c r="H2" s="31" t="n">
        <x:v>37.67155854755727</x:v>
      </x:c>
      <x:c r="I2" s="31" t="n">
        <x:v>43.57918492304619</x:v>
      </x:c>
    </x:row>
    <x:row r="3">
      <x:c r="A3" s="31" t="str">
        <x:v>Gradient Boosting</x:v>
      </x:c>
      <x:c r="B3" s="31" t="n">
        <x:v>402944.8792238796</x:v>
      </x:c>
      <x:c r="C3" s="31" t="n">
        <x:v>911971.5575214208</x:v>
      </x:c>
      <x:c r="D3" s="31" t="n">
        <x:v>-0.0812967625848316</x:v>
      </x:c>
      <x:c r="E3" s="31" t="n">
        <x:v>149833.50424438887</x:v>
      </x:c>
      <x:c r="F3" s="31" t="n">
        <x:v>401841.7778915092</x:v>
      </x:c>
      <x:c r="G3" s="31" t="n">
        <x:v>0.7929870720727124</x:v>
      </x:c>
      <x:c r="H3" s="31" t="n">
        <x:v>62.81538444340421</x:v>
      </x:c>
      <x:c r="I3" s="31" t="n">
        <x:v>55.93702735821664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30" t="str">
        <x:v>KPI</x:v>
      </x:c>
      <x:c r="B1" s="30" t="str">
        <x:v>Value</x:v>
      </x:c>
    </x:row>
    <x:row r="2">
      <x:c r="A2" s="31" t="str">
        <x:v>Analytical Orders</x:v>
      </x:c>
      <x:c r="B2" s="31" t="n">
        <x:v>95832</x:v>
      </x:c>
    </x:row>
    <x:row r="3">
      <x:c r="A3" s="31" t="str">
        <x:v>SLA Breach Rate</x:v>
      </x:c>
      <x:c r="B3" s="31" t="n">
        <x:v>0.07994198180148593</x:v>
      </x:c>
    </x:row>
    <x:row r="4">
      <x:c r="A4" s="31" t="str">
        <x:v>Late Orders</x:v>
      </x:c>
      <x:c r="B4" s="31" t="n">
        <x:v>7661</x:v>
      </x:c>
    </x:row>
    <x:row r="5">
      <x:c r="A5" s="31" t="str">
        <x:v>Average Distance (km)</x:v>
      </x:c>
      <x:c r="B5" s="31" t="n">
        <x:v>600.4221480267859</x:v>
      </x:c>
    </x:row>
    <x:row r="6">
      <x:c r="A6" s="31" t="str">
        <x:v>Bad Review Rate</x:v>
      </x:c>
      <x:c r="B6" s="31" t="n">
        <x:v>0.12806786877034812</x:v>
      </x:c>
    </x:row>
    <x:row r="7">
      <x:c r="A7" s="31" t="str">
        <x:v>Late vs On-time Bad-review Rate Ratio</x:v>
      </x:c>
      <x:c r="B7" s="31" t="n">
        <x:v>4.860682099361321</x:v>
      </x:c>
    </x:row>
    <x:row r="8">
      <x:c r="A8" s="31" t="str">
        <x:v>Early-warning ROC-AUC</x:v>
      </x:c>
      <x:c r="B8" s="31" t="n">
        <x:v>0.6372518716944844</x:v>
      </x:c>
    </x:row>
    <x:row r="9">
      <x:c r="A9" s="31" t="str">
        <x:v>High-risk band bad-review rate</x:v>
      </x:c>
      <x:c r="B9" s="31" t="n">
        <x:v>0.75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30" t="str">
        <x:v>Item</x:v>
      </x:c>
      <x:c r="B1" s="30" t="str">
        <x:v>Definition</x:v>
      </x:c>
    </x:row>
    <x:row r="2">
      <x:c r="A2" s="31" t="str">
        <x:v>Forecast target</x:v>
      </x:c>
      <x:c r="B2" s="31" t="str">
        <x:v>Segment-level age-based median selling price</x:v>
      </x:c>
    </x:row>
    <x:row r="3">
      <x:c r="A3" s="31" t="str">
        <x:v>Focus segment</x:v>
      </x:c>
      <x:c r="B3" s="31" t="str">
        <x:v>Toyota | Diesel</x:v>
      </x:c>
    </x:row>
    <x:row r="4">
      <x:c r="A4" s="31" t="str">
        <x:v>Why age-based</x:v>
      </x:c>
      <x:c r="B4" s="31" t="str">
        <x:v>CarDekho dataset does not contain a listing/sale date; forecast is an age-trajectory projection, not a calendar-time forecast.</x:v>
      </x:c>
    </x:row>
    <x:row r="5">
      <x:c r="A5" s="31" t="str">
        <x:v>Baseline</x:v>
      </x:c>
      <x:c r="B5" s="31" t="str">
        <x:v>3-point moving average</x:v>
      </x:c>
    </x:row>
    <x:row r="6">
      <x:c r="A6" s="31" t="str">
        <x:v>Model</x:v>
      </x:c>
      <x:c r="B6" s="31" t="str">
        <x:v>Simple Exponential Smoothing</x:v>
      </x:c>
    </x:row>
    <x:row r="7">
      <x:c r="A7" s="31" t="str">
        <x:v>Evaluation</x:v>
      </x:c>
      <x:c r="B7" s="31" t="str">
        <x:v>Three-age holdout; MAE and RMSE vs baseline</x:v>
      </x:c>
    </x:row>
    <x:row r="8">
      <x:c r="A8" s="31" t="str">
        <x:v>Power BI source tables</x:v>
      </x:c>
      <x:c r="B8" s="31" t="str">
        <x:v>Pricing Segments, Inventory Matrix, Forecast History, Forecast Results, State Opportunity, Dashboard KPIs</x:v>
      </x:c>
    </x:row>
    <x:row r="9">
      <x:c r="A9" s="31" t="str">
        <x:v>Vahan limitation</x:v>
      </x:c>
      <x:c r="B9" s="31" t="str">
        <x:v>Raw snapshot contains state/RTO/maker/count but no year field; expansion score remains a used-car supply potential proxy, not a YoY forecast.</x:v>
      </x:c>
    </x:row>
  </x:sheetData>
  <x:pageMargins left="0.7" right="0.7" top="0.75" bottom="0.75" header="0.3" footer="0.3"/>
</x:worksheet>
</file>